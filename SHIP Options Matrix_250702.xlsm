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0000000-0000-0000-0000-000000000000}"/>
  <workbookPr codeName="ThisWorkbook"/>
  <mc:AlternateContent xmlns:mc="http://schemas.openxmlformats.org/markup-compatibility/2006">
    <mc:Choice Requires="x15">
      <x15ac:absPath xmlns:x15ac="http://schemas.microsoft.com/office/spreadsheetml/2010/11/ac" url="G:\PROJECTS\MA State House Infrastructure Plan - P0327.00\05 SHIP Task 5 - Draft and Final Infrastructure Plan\Matrix Export\"/>
    </mc:Choice>
  </mc:AlternateContent>
  <xr:revisionPtr revIDLastSave="0" documentId="13_ncr:1_{83E327FB-ACAD-471D-AE85-1DA65D76169B}" xr6:coauthVersionLast="47" xr6:coauthVersionMax="47" xr10:uidLastSave="{00000000-0000-0000-0000-000000000000}"/>
  <bookViews>
    <workbookView xWindow="-165" yWindow="-165" windowWidth="29130" windowHeight="15810" activeTab="1" xr2:uid="{DCD57AB2-4B03-42E1-995B-2A519BDA371C}"/>
  </bookViews>
  <sheets>
    <sheet name="COVER" sheetId="3" r:id="rId1"/>
    <sheet name="MATRIX" sheetId="2" r:id="rId2"/>
    <sheet name="byPROJECT" sheetId="9" r:id="rId3"/>
    <sheet name="bySCHEDULE" sheetId="8" state="hidden" r:id="rId4"/>
    <sheet name="BRAINSTORM SESSION" sheetId="6" state="hidden" r:id="rId5"/>
    <sheet name="ARCHIVE 1_10_25" sheetId="7" state="hidden" r:id="rId6"/>
    <sheet name="Example Matrix" sheetId="5" state="hidden" r:id="rId7"/>
    <sheet name="DATA VALIDATION LIST" sheetId="4" r:id="rId8"/>
  </sheets>
  <definedNames>
    <definedName name="_xlnm._FilterDatabase" localSheetId="5" hidden="1">'ARCHIVE 1_10_25'!$A$9:$X$9</definedName>
    <definedName name="_xlnm._FilterDatabase" localSheetId="4" hidden="1">'BRAINSTORM SESSION'!$A$9:$X$127</definedName>
    <definedName name="_xlnm._FilterDatabase" localSheetId="6" hidden="1">'Example Matrix'!$A$1:$U$60</definedName>
    <definedName name="_xlnm._FilterDatabase" localSheetId="1" hidden="1">MATRIX!$A$7:$X$7</definedName>
    <definedName name="_xleta.OR" hidden="1" xlm="1">#NAME?</definedName>
    <definedName name="_xlnm.Print_Area" localSheetId="1">MATRIX!$A$2:$V$128</definedName>
    <definedName name="_xlnm.Print_Titles" localSheetId="1">MATRIX!$1:$7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33" i="9" l="1"/>
  <c r="U133" i="9"/>
  <c r="T133" i="9"/>
  <c r="S133" i="9"/>
  <c r="R133" i="9"/>
  <c r="Q133" i="9"/>
  <c r="P133" i="9"/>
  <c r="O133" i="9"/>
  <c r="N133" i="9"/>
  <c r="M133" i="9"/>
  <c r="L133" i="9"/>
  <c r="K133" i="9"/>
  <c r="J133" i="9"/>
  <c r="I133" i="9"/>
  <c r="H133" i="9"/>
  <c r="G133" i="9"/>
  <c r="F133" i="9"/>
  <c r="E133" i="9"/>
  <c r="D133" i="9"/>
  <c r="B133" i="9"/>
  <c r="V132" i="9"/>
  <c r="U132" i="9"/>
  <c r="T132" i="9"/>
  <c r="S132" i="9"/>
  <c r="R132" i="9"/>
  <c r="Q132" i="9"/>
  <c r="P132" i="9"/>
  <c r="O132" i="9"/>
  <c r="N132" i="9"/>
  <c r="M132" i="9"/>
  <c r="L132" i="9"/>
  <c r="K132" i="9"/>
  <c r="J132" i="9"/>
  <c r="I132" i="9"/>
  <c r="H132" i="9"/>
  <c r="G132" i="9"/>
  <c r="F132" i="9"/>
  <c r="E132" i="9"/>
  <c r="D132" i="9"/>
  <c r="B132" i="9"/>
  <c r="V131" i="9"/>
  <c r="U131" i="9"/>
  <c r="T131" i="9"/>
  <c r="S131" i="9"/>
  <c r="R131" i="9"/>
  <c r="Q131" i="9"/>
  <c r="P131" i="9"/>
  <c r="O131" i="9"/>
  <c r="N131" i="9"/>
  <c r="M131" i="9"/>
  <c r="L131" i="9"/>
  <c r="K131" i="9"/>
  <c r="J131" i="9"/>
  <c r="I131" i="9"/>
  <c r="H131" i="9"/>
  <c r="G131" i="9"/>
  <c r="F131" i="9"/>
  <c r="E131" i="9"/>
  <c r="D131" i="9"/>
  <c r="B131" i="9"/>
  <c r="V130" i="9"/>
  <c r="U130" i="9"/>
  <c r="T130" i="9"/>
  <c r="S130" i="9"/>
  <c r="R130" i="9"/>
  <c r="Q130" i="9"/>
  <c r="P130" i="9"/>
  <c r="O130" i="9"/>
  <c r="N130" i="9"/>
  <c r="M130" i="9"/>
  <c r="L130" i="9"/>
  <c r="K130" i="9"/>
  <c r="J130" i="9"/>
  <c r="I130" i="9"/>
  <c r="H130" i="9"/>
  <c r="G130" i="9"/>
  <c r="F130" i="9"/>
  <c r="E130" i="9"/>
  <c r="D130" i="9"/>
  <c r="B130" i="9"/>
  <c r="V127" i="9"/>
  <c r="U127" i="9"/>
  <c r="T127" i="9"/>
  <c r="S127" i="9"/>
  <c r="R127" i="9"/>
  <c r="Q127" i="9"/>
  <c r="P127" i="9"/>
  <c r="O127" i="9"/>
  <c r="N127" i="9"/>
  <c r="M127" i="9"/>
  <c r="L127" i="9"/>
  <c r="K127" i="9"/>
  <c r="J127" i="9"/>
  <c r="I127" i="9"/>
  <c r="H127" i="9"/>
  <c r="G127" i="9"/>
  <c r="F127" i="9"/>
  <c r="E127" i="9"/>
  <c r="D127" i="9"/>
  <c r="B127" i="9"/>
  <c r="V124" i="9"/>
  <c r="U124" i="9"/>
  <c r="T124" i="9"/>
  <c r="S124" i="9"/>
  <c r="R124" i="9"/>
  <c r="Q124" i="9"/>
  <c r="P124" i="9"/>
  <c r="O124" i="9"/>
  <c r="N124" i="9"/>
  <c r="M124" i="9"/>
  <c r="L124" i="9"/>
  <c r="K124" i="9"/>
  <c r="J124" i="9"/>
  <c r="I124" i="9"/>
  <c r="H124" i="9"/>
  <c r="G124" i="9"/>
  <c r="F124" i="9"/>
  <c r="E124" i="9"/>
  <c r="D124" i="9"/>
  <c r="B124" i="9"/>
  <c r="V123" i="9"/>
  <c r="U123" i="9"/>
  <c r="T123" i="9"/>
  <c r="S123" i="9"/>
  <c r="R123" i="9"/>
  <c r="Q123" i="9"/>
  <c r="P123" i="9"/>
  <c r="O123" i="9"/>
  <c r="N123" i="9"/>
  <c r="M123" i="9"/>
  <c r="L123" i="9"/>
  <c r="K123" i="9"/>
  <c r="J123" i="9"/>
  <c r="I123" i="9"/>
  <c r="H123" i="9"/>
  <c r="G123" i="9"/>
  <c r="F123" i="9"/>
  <c r="E123" i="9"/>
  <c r="D123" i="9"/>
  <c r="B123" i="9"/>
  <c r="V120" i="9"/>
  <c r="U120" i="9"/>
  <c r="T120" i="9"/>
  <c r="S120" i="9"/>
  <c r="R120" i="9"/>
  <c r="Q120" i="9"/>
  <c r="P120" i="9"/>
  <c r="O120" i="9"/>
  <c r="N120" i="9"/>
  <c r="M120" i="9"/>
  <c r="L120" i="9"/>
  <c r="K120" i="9"/>
  <c r="J120" i="9"/>
  <c r="I120" i="9"/>
  <c r="H120" i="9"/>
  <c r="G120" i="9"/>
  <c r="F120" i="9"/>
  <c r="E120" i="9"/>
  <c r="D120" i="9"/>
  <c r="B120" i="9"/>
  <c r="V117" i="9"/>
  <c r="U117" i="9"/>
  <c r="T117" i="9"/>
  <c r="S117" i="9"/>
  <c r="R117" i="9"/>
  <c r="Q117" i="9"/>
  <c r="P117" i="9"/>
  <c r="O117" i="9"/>
  <c r="N117" i="9"/>
  <c r="M117" i="9"/>
  <c r="L117" i="9"/>
  <c r="K117" i="9"/>
  <c r="J117" i="9"/>
  <c r="I117" i="9"/>
  <c r="H117" i="9"/>
  <c r="G117" i="9"/>
  <c r="F117" i="9"/>
  <c r="E117" i="9"/>
  <c r="D117" i="9"/>
  <c r="B117" i="9"/>
  <c r="V116" i="9"/>
  <c r="U116" i="9"/>
  <c r="T116" i="9"/>
  <c r="S116" i="9"/>
  <c r="R116" i="9"/>
  <c r="Q116" i="9"/>
  <c r="P116" i="9"/>
  <c r="O116" i="9"/>
  <c r="N116" i="9"/>
  <c r="M116" i="9"/>
  <c r="L116" i="9"/>
  <c r="K116" i="9"/>
  <c r="J116" i="9"/>
  <c r="I116" i="9"/>
  <c r="H116" i="9"/>
  <c r="G116" i="9"/>
  <c r="F116" i="9"/>
  <c r="E116" i="9"/>
  <c r="D116" i="9"/>
  <c r="B116" i="9"/>
  <c r="V113" i="9"/>
  <c r="U113" i="9"/>
  <c r="T113" i="9"/>
  <c r="S113" i="9"/>
  <c r="R113" i="9"/>
  <c r="Q113" i="9"/>
  <c r="P113" i="9"/>
  <c r="O113" i="9"/>
  <c r="N113" i="9"/>
  <c r="M113" i="9"/>
  <c r="L113" i="9"/>
  <c r="K113" i="9"/>
  <c r="J113" i="9"/>
  <c r="I113" i="9"/>
  <c r="H113" i="9"/>
  <c r="G113" i="9"/>
  <c r="F113" i="9"/>
  <c r="E113" i="9"/>
  <c r="D113" i="9"/>
  <c r="B113" i="9"/>
  <c r="V112" i="9"/>
  <c r="U112" i="9"/>
  <c r="T112" i="9"/>
  <c r="S112" i="9"/>
  <c r="R112" i="9"/>
  <c r="Q112" i="9"/>
  <c r="P112" i="9"/>
  <c r="O112" i="9"/>
  <c r="N112" i="9"/>
  <c r="M112" i="9"/>
  <c r="L112" i="9"/>
  <c r="K112" i="9"/>
  <c r="J112" i="9"/>
  <c r="I112" i="9"/>
  <c r="H112" i="9"/>
  <c r="G112" i="9"/>
  <c r="F112" i="9"/>
  <c r="E112" i="9"/>
  <c r="D112" i="9"/>
  <c r="B112" i="9"/>
  <c r="V109" i="9"/>
  <c r="U109" i="9"/>
  <c r="T109" i="9"/>
  <c r="S109" i="9"/>
  <c r="R109" i="9"/>
  <c r="Q109" i="9"/>
  <c r="P109" i="9"/>
  <c r="O109" i="9"/>
  <c r="N109" i="9"/>
  <c r="M109" i="9"/>
  <c r="L109" i="9"/>
  <c r="K109" i="9"/>
  <c r="J109" i="9"/>
  <c r="I109" i="9"/>
  <c r="H109" i="9"/>
  <c r="G109" i="9"/>
  <c r="F109" i="9"/>
  <c r="E109" i="9"/>
  <c r="D109" i="9"/>
  <c r="B109" i="9"/>
  <c r="V108" i="9"/>
  <c r="U108" i="9"/>
  <c r="T108" i="9"/>
  <c r="S108" i="9"/>
  <c r="R108" i="9"/>
  <c r="Q108" i="9"/>
  <c r="P108" i="9"/>
  <c r="O108" i="9"/>
  <c r="N108" i="9"/>
  <c r="M108" i="9"/>
  <c r="L108" i="9"/>
  <c r="K108" i="9"/>
  <c r="J108" i="9"/>
  <c r="I108" i="9"/>
  <c r="H108" i="9"/>
  <c r="G108" i="9"/>
  <c r="F108" i="9"/>
  <c r="E108" i="9"/>
  <c r="D108" i="9"/>
  <c r="B108" i="9"/>
  <c r="V105" i="9"/>
  <c r="U105" i="9"/>
  <c r="T105" i="9"/>
  <c r="S105" i="9"/>
  <c r="R105" i="9"/>
  <c r="Q105" i="9"/>
  <c r="P105" i="9"/>
  <c r="O105" i="9"/>
  <c r="N105" i="9"/>
  <c r="M105" i="9"/>
  <c r="L105" i="9"/>
  <c r="K105" i="9"/>
  <c r="J105" i="9"/>
  <c r="I105" i="9"/>
  <c r="H105" i="9"/>
  <c r="G105" i="9"/>
  <c r="F105" i="9"/>
  <c r="E105" i="9"/>
  <c r="D105" i="9"/>
  <c r="B105" i="9"/>
  <c r="V104" i="9"/>
  <c r="U104" i="9"/>
  <c r="T104" i="9"/>
  <c r="S104" i="9"/>
  <c r="R104" i="9"/>
  <c r="Q104" i="9"/>
  <c r="P104" i="9"/>
  <c r="O104" i="9"/>
  <c r="N104" i="9"/>
  <c r="M104" i="9"/>
  <c r="L104" i="9"/>
  <c r="K104" i="9"/>
  <c r="J104" i="9"/>
  <c r="I104" i="9"/>
  <c r="H104" i="9"/>
  <c r="G104" i="9"/>
  <c r="F104" i="9"/>
  <c r="E104" i="9"/>
  <c r="D104" i="9"/>
  <c r="B104" i="9"/>
  <c r="V103" i="9"/>
  <c r="U103" i="9"/>
  <c r="T103" i="9"/>
  <c r="S103" i="9"/>
  <c r="R103" i="9"/>
  <c r="Q103" i="9"/>
  <c r="P103" i="9"/>
  <c r="O103" i="9"/>
  <c r="N103" i="9"/>
  <c r="M103" i="9"/>
  <c r="L103" i="9"/>
  <c r="K103" i="9"/>
  <c r="J103" i="9"/>
  <c r="I103" i="9"/>
  <c r="H103" i="9"/>
  <c r="G103" i="9"/>
  <c r="F103" i="9"/>
  <c r="E103" i="9"/>
  <c r="D103" i="9"/>
  <c r="B103" i="9"/>
  <c r="V102" i="9"/>
  <c r="U102" i="9"/>
  <c r="T102" i="9"/>
  <c r="S102" i="9"/>
  <c r="R102" i="9"/>
  <c r="Q102" i="9"/>
  <c r="P102" i="9"/>
  <c r="O102" i="9"/>
  <c r="N102" i="9"/>
  <c r="M102" i="9"/>
  <c r="L102" i="9"/>
  <c r="K102" i="9"/>
  <c r="J102" i="9"/>
  <c r="I102" i="9"/>
  <c r="H102" i="9"/>
  <c r="G102" i="9"/>
  <c r="F102" i="9"/>
  <c r="E102" i="9"/>
  <c r="D102" i="9"/>
  <c r="B102" i="9"/>
  <c r="V98" i="9"/>
  <c r="U98" i="9"/>
  <c r="T98" i="9"/>
  <c r="S98" i="9"/>
  <c r="R98" i="9"/>
  <c r="Q98" i="9"/>
  <c r="P98" i="9"/>
  <c r="O98" i="9"/>
  <c r="N98" i="9"/>
  <c r="M98" i="9"/>
  <c r="L98" i="9"/>
  <c r="K98" i="9"/>
  <c r="J98" i="9"/>
  <c r="I98" i="9"/>
  <c r="H98" i="9"/>
  <c r="G98" i="9"/>
  <c r="F98" i="9"/>
  <c r="E98" i="9"/>
  <c r="D98" i="9"/>
  <c r="B98" i="9"/>
  <c r="V101" i="9"/>
  <c r="U101" i="9"/>
  <c r="T101" i="9"/>
  <c r="S101" i="9"/>
  <c r="R101" i="9"/>
  <c r="Q101" i="9"/>
  <c r="P101" i="9"/>
  <c r="O101" i="9"/>
  <c r="N101" i="9"/>
  <c r="M101" i="9"/>
  <c r="L101" i="9"/>
  <c r="K101" i="9"/>
  <c r="J101" i="9"/>
  <c r="I101" i="9"/>
  <c r="H101" i="9"/>
  <c r="G101" i="9"/>
  <c r="F101" i="9"/>
  <c r="E101" i="9"/>
  <c r="D101" i="9"/>
  <c r="B101" i="9"/>
  <c r="V100" i="9"/>
  <c r="U100" i="9"/>
  <c r="T100" i="9"/>
  <c r="S100" i="9"/>
  <c r="R100" i="9"/>
  <c r="Q100" i="9"/>
  <c r="P100" i="9"/>
  <c r="O100" i="9"/>
  <c r="N100" i="9"/>
  <c r="M100" i="9"/>
  <c r="L100" i="9"/>
  <c r="K100" i="9"/>
  <c r="J100" i="9"/>
  <c r="I100" i="9"/>
  <c r="H100" i="9"/>
  <c r="G100" i="9"/>
  <c r="F100" i="9"/>
  <c r="E100" i="9"/>
  <c r="D100" i="9"/>
  <c r="B100" i="9"/>
  <c r="V99" i="9"/>
  <c r="U99" i="9"/>
  <c r="T99" i="9"/>
  <c r="S99" i="9"/>
  <c r="R99" i="9"/>
  <c r="Q99" i="9"/>
  <c r="P99" i="9"/>
  <c r="O99" i="9"/>
  <c r="N99" i="9"/>
  <c r="M99" i="9"/>
  <c r="L99" i="9"/>
  <c r="K99" i="9"/>
  <c r="J99" i="9"/>
  <c r="I99" i="9"/>
  <c r="H99" i="9"/>
  <c r="G99" i="9"/>
  <c r="F99" i="9"/>
  <c r="E99" i="9"/>
  <c r="D99" i="9"/>
  <c r="B99" i="9"/>
  <c r="V95" i="9"/>
  <c r="T95" i="9"/>
  <c r="S95" i="9"/>
  <c r="R95" i="9"/>
  <c r="Q95" i="9"/>
  <c r="P95" i="9"/>
  <c r="O95" i="9"/>
  <c r="N95" i="9"/>
  <c r="M95" i="9"/>
  <c r="L95" i="9"/>
  <c r="K95" i="9"/>
  <c r="J95" i="9"/>
  <c r="I95" i="9"/>
  <c r="H95" i="9"/>
  <c r="G95" i="9"/>
  <c r="F95" i="9"/>
  <c r="E95" i="9"/>
  <c r="D95" i="9"/>
  <c r="B95" i="9"/>
  <c r="V89" i="9"/>
  <c r="T89" i="9"/>
  <c r="S89" i="9"/>
  <c r="R89" i="9"/>
  <c r="Q89" i="9"/>
  <c r="P89" i="9"/>
  <c r="O89" i="9"/>
  <c r="N89" i="9"/>
  <c r="M89" i="9"/>
  <c r="L89" i="9"/>
  <c r="K89" i="9"/>
  <c r="J89" i="9"/>
  <c r="I89" i="9"/>
  <c r="H89" i="9"/>
  <c r="G89" i="9"/>
  <c r="F89" i="9"/>
  <c r="E89" i="9"/>
  <c r="D89" i="9"/>
  <c r="B89" i="9"/>
  <c r="V88" i="9"/>
  <c r="T88" i="9"/>
  <c r="S88" i="9"/>
  <c r="R88" i="9"/>
  <c r="Q88" i="9"/>
  <c r="P88" i="9"/>
  <c r="O88" i="9"/>
  <c r="N88" i="9"/>
  <c r="M88" i="9"/>
  <c r="L88" i="9"/>
  <c r="K88" i="9"/>
  <c r="J88" i="9"/>
  <c r="I88" i="9"/>
  <c r="H88" i="9"/>
  <c r="G88" i="9"/>
  <c r="F88" i="9"/>
  <c r="E88" i="9"/>
  <c r="D88" i="9"/>
  <c r="B88" i="9"/>
  <c r="V87" i="9"/>
  <c r="T87" i="9"/>
  <c r="S87" i="9"/>
  <c r="R87" i="9"/>
  <c r="Q87" i="9"/>
  <c r="P87" i="9"/>
  <c r="O87" i="9"/>
  <c r="N87" i="9"/>
  <c r="M87" i="9"/>
  <c r="L87" i="9"/>
  <c r="K87" i="9"/>
  <c r="J87" i="9"/>
  <c r="I87" i="9"/>
  <c r="H87" i="9"/>
  <c r="G87" i="9"/>
  <c r="F87" i="9"/>
  <c r="E87" i="9"/>
  <c r="D87" i="9"/>
  <c r="B87" i="9"/>
  <c r="V86" i="9"/>
  <c r="T86" i="9"/>
  <c r="S86" i="9"/>
  <c r="R86" i="9"/>
  <c r="Q86" i="9"/>
  <c r="P86" i="9"/>
  <c r="O86" i="9"/>
  <c r="N86" i="9"/>
  <c r="M86" i="9"/>
  <c r="L86" i="9"/>
  <c r="K86" i="9"/>
  <c r="J86" i="9"/>
  <c r="I86" i="9"/>
  <c r="H86" i="9"/>
  <c r="G86" i="9"/>
  <c r="F86" i="9"/>
  <c r="E86" i="9"/>
  <c r="D86" i="9"/>
  <c r="B86" i="9"/>
  <c r="V30" i="9"/>
  <c r="T30" i="9"/>
  <c r="S30" i="9"/>
  <c r="R30" i="9"/>
  <c r="Q30" i="9"/>
  <c r="P30" i="9"/>
  <c r="O30" i="9"/>
  <c r="N30" i="9"/>
  <c r="M30" i="9"/>
  <c r="L30" i="9"/>
  <c r="K30" i="9"/>
  <c r="J30" i="9"/>
  <c r="I30" i="9"/>
  <c r="H30" i="9"/>
  <c r="G30" i="9"/>
  <c r="F30" i="9"/>
  <c r="E30" i="9"/>
  <c r="D30" i="9"/>
  <c r="B30" i="9"/>
  <c r="V29" i="9"/>
  <c r="T29" i="9"/>
  <c r="S29" i="9"/>
  <c r="R29" i="9"/>
  <c r="Q29" i="9"/>
  <c r="P29" i="9"/>
  <c r="O29" i="9"/>
  <c r="N29" i="9"/>
  <c r="M29" i="9"/>
  <c r="L29" i="9"/>
  <c r="K29" i="9"/>
  <c r="J29" i="9"/>
  <c r="I29" i="9"/>
  <c r="H29" i="9"/>
  <c r="G29" i="9"/>
  <c r="F29" i="9"/>
  <c r="E29" i="9"/>
  <c r="D29" i="9"/>
  <c r="B29" i="9"/>
  <c r="V26" i="9"/>
  <c r="T26" i="9"/>
  <c r="S26" i="9"/>
  <c r="R26" i="9"/>
  <c r="Q26" i="9"/>
  <c r="P26" i="9"/>
  <c r="O26" i="9"/>
  <c r="N26" i="9"/>
  <c r="M26" i="9"/>
  <c r="L26" i="9"/>
  <c r="K26" i="9"/>
  <c r="J26" i="9"/>
  <c r="I26" i="9"/>
  <c r="H26" i="9"/>
  <c r="G26" i="9"/>
  <c r="F26" i="9"/>
  <c r="E26" i="9"/>
  <c r="D26" i="9"/>
  <c r="B26" i="9"/>
  <c r="V25" i="9"/>
  <c r="T25" i="9"/>
  <c r="S25" i="9"/>
  <c r="R25" i="9"/>
  <c r="Q25" i="9"/>
  <c r="P25" i="9"/>
  <c r="O25" i="9"/>
  <c r="N25" i="9"/>
  <c r="M25" i="9"/>
  <c r="L25" i="9"/>
  <c r="K25" i="9"/>
  <c r="J25" i="9"/>
  <c r="I25" i="9"/>
  <c r="H25" i="9"/>
  <c r="G25" i="9"/>
  <c r="F25" i="9"/>
  <c r="E25" i="9"/>
  <c r="D25" i="9"/>
  <c r="B25" i="9"/>
  <c r="V24" i="9"/>
  <c r="T24" i="9"/>
  <c r="S24" i="9"/>
  <c r="R24" i="9"/>
  <c r="Q24" i="9"/>
  <c r="P24" i="9"/>
  <c r="O24" i="9"/>
  <c r="N24" i="9"/>
  <c r="M24" i="9"/>
  <c r="L24" i="9"/>
  <c r="K24" i="9"/>
  <c r="J24" i="9"/>
  <c r="I24" i="9"/>
  <c r="H24" i="9"/>
  <c r="G24" i="9"/>
  <c r="F24" i="9"/>
  <c r="E24" i="9"/>
  <c r="D24" i="9"/>
  <c r="B24" i="9"/>
  <c r="V21" i="9"/>
  <c r="T21" i="9"/>
  <c r="S21" i="9"/>
  <c r="R21" i="9"/>
  <c r="Q21" i="9"/>
  <c r="P21" i="9"/>
  <c r="O21" i="9"/>
  <c r="N21" i="9"/>
  <c r="M21" i="9"/>
  <c r="L21" i="9"/>
  <c r="K21" i="9"/>
  <c r="J21" i="9"/>
  <c r="I21" i="9"/>
  <c r="H21" i="9"/>
  <c r="G21" i="9"/>
  <c r="F21" i="9"/>
  <c r="E21" i="9"/>
  <c r="D21" i="9"/>
  <c r="B21" i="9"/>
  <c r="V18" i="9"/>
  <c r="T18" i="9"/>
  <c r="S18" i="9"/>
  <c r="R18" i="9"/>
  <c r="Q18" i="9"/>
  <c r="P18" i="9"/>
  <c r="O18" i="9"/>
  <c r="N18" i="9"/>
  <c r="M18" i="9"/>
  <c r="L18" i="9"/>
  <c r="K18" i="9"/>
  <c r="J18" i="9"/>
  <c r="I18" i="9"/>
  <c r="H18" i="9"/>
  <c r="G18" i="9"/>
  <c r="F18" i="9"/>
  <c r="E18" i="9"/>
  <c r="D18" i="9"/>
  <c r="B18" i="9"/>
  <c r="B11" i="8"/>
  <c r="B10" i="8"/>
  <c r="B9" i="8"/>
  <c r="E15" i="9"/>
  <c r="F15" i="9"/>
  <c r="G15" i="9"/>
  <c r="H15" i="9"/>
  <c r="I15" i="9"/>
  <c r="J15" i="9"/>
  <c r="K15" i="9"/>
  <c r="L15" i="9"/>
  <c r="M15" i="9"/>
  <c r="N15" i="9"/>
  <c r="O15" i="9"/>
  <c r="P15" i="9"/>
  <c r="Q15" i="9"/>
  <c r="R15" i="9"/>
  <c r="S15" i="9"/>
  <c r="T15" i="9"/>
  <c r="U15" i="9"/>
  <c r="V15" i="9"/>
  <c r="D15" i="9"/>
  <c r="B15" i="9"/>
  <c r="B14" i="9"/>
  <c r="V14" i="9"/>
  <c r="U14" i="9"/>
  <c r="T14" i="9"/>
  <c r="S14" i="9"/>
  <c r="R14" i="9"/>
  <c r="Q14" i="9"/>
  <c r="P14" i="9"/>
  <c r="O14" i="9"/>
  <c r="N14" i="9"/>
  <c r="M14" i="9"/>
  <c r="L14" i="9"/>
  <c r="K14" i="9"/>
  <c r="J14" i="9"/>
  <c r="I14" i="9"/>
  <c r="H14" i="9"/>
  <c r="G14" i="9"/>
  <c r="F14" i="9"/>
  <c r="E14" i="9"/>
  <c r="D14" i="9"/>
  <c r="B11" i="9"/>
  <c r="E11" i="9"/>
  <c r="F11" i="9"/>
  <c r="G11" i="9"/>
  <c r="H11" i="9"/>
  <c r="I11" i="9"/>
  <c r="J11" i="9"/>
  <c r="K11" i="9"/>
  <c r="L11" i="9"/>
  <c r="M11" i="9"/>
  <c r="N11" i="9"/>
  <c r="O11" i="9"/>
  <c r="P11" i="9"/>
  <c r="Q11" i="9"/>
  <c r="R11" i="9"/>
  <c r="S11" i="9"/>
  <c r="T11" i="9"/>
  <c r="U11" i="9"/>
  <c r="V11" i="9"/>
  <c r="D11" i="9"/>
  <c r="D34" i="9"/>
  <c r="V44" i="9"/>
  <c r="T44" i="9"/>
  <c r="S44" i="9"/>
  <c r="R44" i="9"/>
  <c r="Q44" i="9"/>
  <c r="P44" i="9"/>
  <c r="O44" i="9"/>
  <c r="N44" i="9"/>
  <c r="M44" i="9"/>
  <c r="L44" i="9"/>
  <c r="K44" i="9"/>
  <c r="J44" i="9"/>
  <c r="I44" i="9"/>
  <c r="H44" i="9"/>
  <c r="G44" i="9"/>
  <c r="F44" i="9"/>
  <c r="E44" i="9"/>
  <c r="D44" i="9"/>
  <c r="B44" i="9"/>
  <c r="V43" i="9"/>
  <c r="T43" i="9"/>
  <c r="S43" i="9"/>
  <c r="R43" i="9"/>
  <c r="Q43" i="9"/>
  <c r="P43" i="9"/>
  <c r="O43" i="9"/>
  <c r="N43" i="9"/>
  <c r="M43" i="9"/>
  <c r="L43" i="9"/>
  <c r="K43" i="9"/>
  <c r="J43" i="9"/>
  <c r="I43" i="9"/>
  <c r="H43" i="9"/>
  <c r="G43" i="9"/>
  <c r="F43" i="9"/>
  <c r="E43" i="9"/>
  <c r="D43" i="9"/>
  <c r="B43" i="9"/>
  <c r="V41" i="9"/>
  <c r="T41" i="9"/>
  <c r="S41" i="9"/>
  <c r="R41" i="9"/>
  <c r="Q41" i="9"/>
  <c r="P41" i="9"/>
  <c r="O41" i="9"/>
  <c r="N41" i="9"/>
  <c r="M41" i="9"/>
  <c r="L41" i="9"/>
  <c r="K41" i="9"/>
  <c r="J41" i="9"/>
  <c r="I41" i="9"/>
  <c r="H41" i="9"/>
  <c r="G41" i="9"/>
  <c r="F41" i="9"/>
  <c r="E41" i="9"/>
  <c r="D41" i="9"/>
  <c r="B41" i="9"/>
  <c r="V40" i="9"/>
  <c r="T40" i="9"/>
  <c r="S40" i="9"/>
  <c r="R40" i="9"/>
  <c r="Q40" i="9"/>
  <c r="P40" i="9"/>
  <c r="O40" i="9"/>
  <c r="N40" i="9"/>
  <c r="M40" i="9"/>
  <c r="L40" i="9"/>
  <c r="K40" i="9"/>
  <c r="J40" i="9"/>
  <c r="I40" i="9"/>
  <c r="H40" i="9"/>
  <c r="G40" i="9"/>
  <c r="F40" i="9"/>
  <c r="E40" i="9"/>
  <c r="D40" i="9"/>
  <c r="B40" i="9"/>
  <c r="V39" i="9"/>
  <c r="T39" i="9"/>
  <c r="S39" i="9"/>
  <c r="R39" i="9"/>
  <c r="Q39" i="9"/>
  <c r="P39" i="9"/>
  <c r="O39" i="9"/>
  <c r="N39" i="9"/>
  <c r="M39" i="9"/>
  <c r="L39" i="9"/>
  <c r="K39" i="9"/>
  <c r="J39" i="9"/>
  <c r="I39" i="9"/>
  <c r="H39" i="9"/>
  <c r="G39" i="9"/>
  <c r="F39" i="9"/>
  <c r="E39" i="9"/>
  <c r="D39" i="9"/>
  <c r="B39" i="9"/>
  <c r="E34" i="9"/>
  <c r="F34" i="9"/>
  <c r="G34" i="9"/>
  <c r="H34" i="9"/>
  <c r="I34" i="9"/>
  <c r="J34" i="9"/>
  <c r="K34" i="9"/>
  <c r="L34" i="9"/>
  <c r="M34" i="9"/>
  <c r="N34" i="9"/>
  <c r="O34" i="9"/>
  <c r="P34" i="9"/>
  <c r="Q34" i="9"/>
  <c r="R34" i="9"/>
  <c r="S34" i="9"/>
  <c r="T34" i="9"/>
  <c r="V34" i="9"/>
  <c r="V37" i="9"/>
  <c r="T37" i="9"/>
  <c r="S37" i="9"/>
  <c r="R37" i="9"/>
  <c r="Q37" i="9"/>
  <c r="P37" i="9"/>
  <c r="O37" i="9"/>
  <c r="N37" i="9"/>
  <c r="M37" i="9"/>
  <c r="L37" i="9"/>
  <c r="K37" i="9"/>
  <c r="J37" i="9"/>
  <c r="I37" i="9"/>
  <c r="H37" i="9"/>
  <c r="G37" i="9"/>
  <c r="F37" i="9"/>
  <c r="E37" i="9"/>
  <c r="D37" i="9"/>
  <c r="B37" i="9"/>
  <c r="V36" i="9"/>
  <c r="T36" i="9"/>
  <c r="S36" i="9"/>
  <c r="R36" i="9"/>
  <c r="Q36" i="9"/>
  <c r="P36" i="9"/>
  <c r="O36" i="9"/>
  <c r="N36" i="9"/>
  <c r="M36" i="9"/>
  <c r="L36" i="9"/>
  <c r="K36" i="9"/>
  <c r="J36" i="9"/>
  <c r="I36" i="9"/>
  <c r="H36" i="9"/>
  <c r="G36" i="9"/>
  <c r="F36" i="9"/>
  <c r="E36" i="9"/>
  <c r="D36" i="9"/>
  <c r="B36" i="9"/>
  <c r="V35" i="9"/>
  <c r="T35" i="9"/>
  <c r="S35" i="9"/>
  <c r="R35" i="9"/>
  <c r="Q35" i="9"/>
  <c r="P35" i="9"/>
  <c r="O35" i="9"/>
  <c r="N35" i="9"/>
  <c r="M35" i="9"/>
  <c r="L35" i="9"/>
  <c r="K35" i="9"/>
  <c r="J35" i="9"/>
  <c r="I35" i="9"/>
  <c r="H35" i="9"/>
  <c r="G35" i="9"/>
  <c r="F35" i="9"/>
  <c r="E35" i="9"/>
  <c r="D35" i="9"/>
  <c r="B35" i="9"/>
  <c r="B34" i="9"/>
  <c r="V76" i="9"/>
  <c r="T76" i="9"/>
  <c r="S76" i="9"/>
  <c r="R76" i="9"/>
  <c r="Q76" i="9"/>
  <c r="P76" i="9"/>
  <c r="O76" i="9"/>
  <c r="N76" i="9"/>
  <c r="M76" i="9"/>
  <c r="L76" i="9"/>
  <c r="K76" i="9"/>
  <c r="J76" i="9"/>
  <c r="I76" i="9"/>
  <c r="H76" i="9"/>
  <c r="G76" i="9"/>
  <c r="F76" i="9"/>
  <c r="E76" i="9"/>
  <c r="D76" i="9"/>
  <c r="B76" i="9"/>
  <c r="V75" i="9"/>
  <c r="T75" i="9"/>
  <c r="S75" i="9"/>
  <c r="R75" i="9"/>
  <c r="Q75" i="9"/>
  <c r="P75" i="9"/>
  <c r="O75" i="9"/>
  <c r="N75" i="9"/>
  <c r="M75" i="9"/>
  <c r="L75" i="9"/>
  <c r="K75" i="9"/>
  <c r="J75" i="9"/>
  <c r="I75" i="9"/>
  <c r="H75" i="9"/>
  <c r="G75" i="9"/>
  <c r="F75" i="9"/>
  <c r="E75" i="9"/>
  <c r="D75" i="9"/>
  <c r="B75" i="9"/>
  <c r="V74" i="9"/>
  <c r="T74" i="9"/>
  <c r="S74" i="9"/>
  <c r="R74" i="9"/>
  <c r="Q74" i="9"/>
  <c r="P74" i="9"/>
  <c r="O74" i="9"/>
  <c r="N74" i="9"/>
  <c r="M74" i="9"/>
  <c r="L74" i="9"/>
  <c r="K74" i="9"/>
  <c r="J74" i="9"/>
  <c r="I74" i="9"/>
  <c r="H74" i="9"/>
  <c r="G74" i="9"/>
  <c r="F74" i="9"/>
  <c r="E74" i="9"/>
  <c r="D74" i="9"/>
  <c r="B74" i="9"/>
  <c r="V73" i="9"/>
  <c r="T73" i="9"/>
  <c r="S73" i="9"/>
  <c r="R73" i="9"/>
  <c r="Q73" i="9"/>
  <c r="P73" i="9"/>
  <c r="O73" i="9"/>
  <c r="N73" i="9"/>
  <c r="M73" i="9"/>
  <c r="L73" i="9"/>
  <c r="K73" i="9"/>
  <c r="J73" i="9"/>
  <c r="I73" i="9"/>
  <c r="H73" i="9"/>
  <c r="G73" i="9"/>
  <c r="F73" i="9"/>
  <c r="E73" i="9"/>
  <c r="D73" i="9"/>
  <c r="B73" i="9"/>
  <c r="V50" i="9"/>
  <c r="T50" i="9"/>
  <c r="S50" i="9"/>
  <c r="R50" i="9"/>
  <c r="Q50" i="9"/>
  <c r="P50" i="9"/>
  <c r="O50" i="9"/>
  <c r="N50" i="9"/>
  <c r="M50" i="9"/>
  <c r="L50" i="9"/>
  <c r="K50" i="9"/>
  <c r="J50" i="9"/>
  <c r="I50" i="9"/>
  <c r="H50" i="9"/>
  <c r="G50" i="9"/>
  <c r="F50" i="9"/>
  <c r="E50" i="9"/>
  <c r="D50" i="9"/>
  <c r="B50" i="9"/>
  <c r="V67" i="9"/>
  <c r="T67" i="9"/>
  <c r="S67" i="9"/>
  <c r="R67" i="9"/>
  <c r="Q67" i="9"/>
  <c r="P67" i="9"/>
  <c r="O67" i="9"/>
  <c r="N67" i="9"/>
  <c r="M67" i="9"/>
  <c r="L67" i="9"/>
  <c r="K67" i="9"/>
  <c r="J67" i="9"/>
  <c r="I67" i="9"/>
  <c r="H67" i="9"/>
  <c r="G67" i="9"/>
  <c r="F67" i="9"/>
  <c r="E67" i="9"/>
  <c r="D67" i="9"/>
  <c r="B67" i="9"/>
  <c r="V70" i="9"/>
  <c r="T70" i="9"/>
  <c r="S70" i="9"/>
  <c r="R70" i="9"/>
  <c r="Q70" i="9"/>
  <c r="P70" i="9"/>
  <c r="O70" i="9"/>
  <c r="N70" i="9"/>
  <c r="M70" i="9"/>
  <c r="L70" i="9"/>
  <c r="K70" i="9"/>
  <c r="J70" i="9"/>
  <c r="I70" i="9"/>
  <c r="H70" i="9"/>
  <c r="G70" i="9"/>
  <c r="F70" i="9"/>
  <c r="E70" i="9"/>
  <c r="D70" i="9"/>
  <c r="B70" i="9"/>
  <c r="V69" i="9"/>
  <c r="T69" i="9"/>
  <c r="S69" i="9"/>
  <c r="R69" i="9"/>
  <c r="Q69" i="9"/>
  <c r="P69" i="9"/>
  <c r="O69" i="9"/>
  <c r="N69" i="9"/>
  <c r="M69" i="9"/>
  <c r="L69" i="9"/>
  <c r="K69" i="9"/>
  <c r="J69" i="9"/>
  <c r="I69" i="9"/>
  <c r="H69" i="9"/>
  <c r="G69" i="9"/>
  <c r="F69" i="9"/>
  <c r="E69" i="9"/>
  <c r="D69" i="9"/>
  <c r="B69" i="9"/>
  <c r="V68" i="9"/>
  <c r="T68" i="9"/>
  <c r="S68" i="9"/>
  <c r="R68" i="9"/>
  <c r="Q68" i="9"/>
  <c r="P68" i="9"/>
  <c r="O68" i="9"/>
  <c r="N68" i="9"/>
  <c r="M68" i="9"/>
  <c r="L68" i="9"/>
  <c r="K68" i="9"/>
  <c r="J68" i="9"/>
  <c r="I68" i="9"/>
  <c r="H68" i="9"/>
  <c r="G68" i="9"/>
  <c r="F68" i="9"/>
  <c r="E68" i="9"/>
  <c r="D68" i="9"/>
  <c r="B68" i="9"/>
  <c r="V66" i="9"/>
  <c r="T66" i="9"/>
  <c r="S66" i="9"/>
  <c r="R66" i="9"/>
  <c r="Q66" i="9"/>
  <c r="P66" i="9"/>
  <c r="O66" i="9"/>
  <c r="N66" i="9"/>
  <c r="M66" i="9"/>
  <c r="L66" i="9"/>
  <c r="K66" i="9"/>
  <c r="J66" i="9"/>
  <c r="I66" i="9"/>
  <c r="H66" i="9"/>
  <c r="G66" i="9"/>
  <c r="F66" i="9"/>
  <c r="E66" i="9"/>
  <c r="D66" i="9"/>
  <c r="B66" i="9"/>
  <c r="V65" i="9"/>
  <c r="T65" i="9"/>
  <c r="S65" i="9"/>
  <c r="R65" i="9"/>
  <c r="Q65" i="9"/>
  <c r="P65" i="9"/>
  <c r="O65" i="9"/>
  <c r="N65" i="9"/>
  <c r="M65" i="9"/>
  <c r="L65" i="9"/>
  <c r="K65" i="9"/>
  <c r="J65" i="9"/>
  <c r="I65" i="9"/>
  <c r="H65" i="9"/>
  <c r="G65" i="9"/>
  <c r="F65" i="9"/>
  <c r="E65" i="9"/>
  <c r="D65" i="9"/>
  <c r="B65" i="9"/>
  <c r="V64" i="9"/>
  <c r="T64" i="9"/>
  <c r="S64" i="9"/>
  <c r="R64" i="9"/>
  <c r="Q64" i="9"/>
  <c r="P64" i="9"/>
  <c r="O64" i="9"/>
  <c r="N64" i="9"/>
  <c r="M64" i="9"/>
  <c r="L64" i="9"/>
  <c r="K64" i="9"/>
  <c r="J64" i="9"/>
  <c r="I64" i="9"/>
  <c r="H64" i="9"/>
  <c r="G64" i="9"/>
  <c r="F64" i="9"/>
  <c r="E64" i="9"/>
  <c r="D64" i="9"/>
  <c r="B64" i="9"/>
  <c r="E57" i="9"/>
  <c r="F57" i="9"/>
  <c r="G57" i="9"/>
  <c r="H57" i="9"/>
  <c r="I57" i="9"/>
  <c r="J57" i="9"/>
  <c r="K57" i="9"/>
  <c r="L57" i="9"/>
  <c r="M57" i="9"/>
  <c r="N57" i="9"/>
  <c r="O57" i="9"/>
  <c r="P57" i="9"/>
  <c r="Q57" i="9"/>
  <c r="R57" i="9"/>
  <c r="S57" i="9"/>
  <c r="T57" i="9"/>
  <c r="V57" i="9"/>
  <c r="D57" i="9"/>
  <c r="E56" i="9"/>
  <c r="F56" i="9"/>
  <c r="G56" i="9"/>
  <c r="H56" i="9"/>
  <c r="I56" i="9"/>
  <c r="J56" i="9"/>
  <c r="K56" i="9"/>
  <c r="L56" i="9"/>
  <c r="M56" i="9"/>
  <c r="N56" i="9"/>
  <c r="O56" i="9"/>
  <c r="P56" i="9"/>
  <c r="Q56" i="9"/>
  <c r="R56" i="9"/>
  <c r="S56" i="9"/>
  <c r="T56" i="9"/>
  <c r="V56" i="9"/>
  <c r="D56" i="9"/>
  <c r="E142" i="9"/>
  <c r="F142" i="9"/>
  <c r="G142" i="9"/>
  <c r="H142" i="9"/>
  <c r="I142" i="9"/>
  <c r="J142" i="9"/>
  <c r="K142" i="9"/>
  <c r="L142" i="9"/>
  <c r="M142" i="9"/>
  <c r="N142" i="9"/>
  <c r="O142" i="9"/>
  <c r="P142" i="9"/>
  <c r="Q142" i="9"/>
  <c r="R142" i="9"/>
  <c r="S142" i="9"/>
  <c r="T142" i="9"/>
  <c r="U142" i="9"/>
  <c r="V142" i="9"/>
  <c r="E141" i="9"/>
  <c r="F141" i="9"/>
  <c r="G141" i="9"/>
  <c r="H141" i="9"/>
  <c r="I141" i="9"/>
  <c r="J141" i="9"/>
  <c r="K141" i="9"/>
  <c r="L141" i="9"/>
  <c r="M141" i="9"/>
  <c r="N141" i="9"/>
  <c r="O141" i="9"/>
  <c r="P141" i="9"/>
  <c r="Q141" i="9"/>
  <c r="R141" i="9"/>
  <c r="S141" i="9"/>
  <c r="T141" i="9"/>
  <c r="U141" i="9"/>
  <c r="V141" i="9"/>
  <c r="E140" i="9"/>
  <c r="F140" i="9"/>
  <c r="G140" i="9"/>
  <c r="H140" i="9"/>
  <c r="I140" i="9"/>
  <c r="J140" i="9"/>
  <c r="K140" i="9"/>
  <c r="L140" i="9"/>
  <c r="M140" i="9"/>
  <c r="N140" i="9"/>
  <c r="O140" i="9"/>
  <c r="P140" i="9"/>
  <c r="Q140" i="9"/>
  <c r="R140" i="9"/>
  <c r="S140" i="9"/>
  <c r="T140" i="9"/>
  <c r="U140" i="9"/>
  <c r="V140" i="9"/>
  <c r="E139" i="9"/>
  <c r="F139" i="9"/>
  <c r="G139" i="9"/>
  <c r="H139" i="9"/>
  <c r="I139" i="9"/>
  <c r="J139" i="9"/>
  <c r="K139" i="9"/>
  <c r="L139" i="9"/>
  <c r="M139" i="9"/>
  <c r="N139" i="9"/>
  <c r="O139" i="9"/>
  <c r="P139" i="9"/>
  <c r="Q139" i="9"/>
  <c r="R139" i="9"/>
  <c r="S139" i="9"/>
  <c r="T139" i="9"/>
  <c r="U139" i="9"/>
  <c r="V139" i="9"/>
  <c r="E138" i="9"/>
  <c r="F138" i="9"/>
  <c r="G138" i="9"/>
  <c r="H138" i="9"/>
  <c r="I138" i="9"/>
  <c r="J138" i="9"/>
  <c r="K138" i="9"/>
  <c r="L138" i="9"/>
  <c r="M138" i="9"/>
  <c r="N138" i="9"/>
  <c r="O138" i="9"/>
  <c r="P138" i="9"/>
  <c r="Q138" i="9"/>
  <c r="R138" i="9"/>
  <c r="S138" i="9"/>
  <c r="T138" i="9"/>
  <c r="U138" i="9"/>
  <c r="V138" i="9"/>
  <c r="E94" i="9"/>
  <c r="F94" i="9"/>
  <c r="G94" i="9"/>
  <c r="H94" i="9"/>
  <c r="I94" i="9"/>
  <c r="J94" i="9"/>
  <c r="K94" i="9"/>
  <c r="L94" i="9"/>
  <c r="M94" i="9"/>
  <c r="N94" i="9"/>
  <c r="O94" i="9"/>
  <c r="P94" i="9"/>
  <c r="Q94" i="9"/>
  <c r="R94" i="9"/>
  <c r="S94" i="9"/>
  <c r="T94" i="9"/>
  <c r="V94" i="9"/>
  <c r="N93" i="9"/>
  <c r="O93" i="9"/>
  <c r="P93" i="9"/>
  <c r="Q93" i="9"/>
  <c r="R93" i="9"/>
  <c r="S93" i="9"/>
  <c r="T93" i="9"/>
  <c r="V93" i="9"/>
  <c r="E93" i="9"/>
  <c r="F93" i="9"/>
  <c r="G93" i="9"/>
  <c r="H93" i="9"/>
  <c r="I93" i="9"/>
  <c r="J93" i="9"/>
  <c r="K93" i="9"/>
  <c r="L93" i="9"/>
  <c r="M93" i="9"/>
  <c r="V60" i="9"/>
  <c r="T60" i="9"/>
  <c r="S60" i="9"/>
  <c r="R60" i="9"/>
  <c r="Q60" i="9"/>
  <c r="P60" i="9"/>
  <c r="O60" i="9"/>
  <c r="N60" i="9"/>
  <c r="M60" i="9"/>
  <c r="L60" i="9"/>
  <c r="K60" i="9"/>
  <c r="J60" i="9"/>
  <c r="I60" i="9"/>
  <c r="H60" i="9"/>
  <c r="G60" i="9"/>
  <c r="F60" i="9"/>
  <c r="E60" i="9"/>
  <c r="D60" i="9"/>
  <c r="B60" i="9"/>
  <c r="V59" i="9"/>
  <c r="T59" i="9"/>
  <c r="S59" i="9"/>
  <c r="R59" i="9"/>
  <c r="Q59" i="9"/>
  <c r="P59" i="9"/>
  <c r="O59" i="9"/>
  <c r="N59" i="9"/>
  <c r="M59" i="9"/>
  <c r="L59" i="9"/>
  <c r="K59" i="9"/>
  <c r="J59" i="9"/>
  <c r="I59" i="9"/>
  <c r="H59" i="9"/>
  <c r="G59" i="9"/>
  <c r="F59" i="9"/>
  <c r="E59" i="9"/>
  <c r="D59" i="9"/>
  <c r="B59" i="9"/>
  <c r="V58" i="9"/>
  <c r="T58" i="9"/>
  <c r="S58" i="9"/>
  <c r="R58" i="9"/>
  <c r="Q58" i="9"/>
  <c r="P58" i="9"/>
  <c r="O58" i="9"/>
  <c r="N58" i="9"/>
  <c r="M58" i="9"/>
  <c r="L58" i="9"/>
  <c r="K58" i="9"/>
  <c r="J58" i="9"/>
  <c r="I58" i="9"/>
  <c r="H58" i="9"/>
  <c r="G58" i="9"/>
  <c r="F58" i="9"/>
  <c r="E58" i="9"/>
  <c r="D58" i="9"/>
  <c r="B58" i="9"/>
  <c r="B57" i="9"/>
  <c r="B56" i="9"/>
  <c r="B93" i="9"/>
  <c r="B94" i="9"/>
  <c r="B138" i="9"/>
  <c r="B139" i="9"/>
  <c r="B140" i="9"/>
  <c r="B141" i="9"/>
  <c r="B142" i="9"/>
  <c r="B92" i="9"/>
  <c r="G92" i="9"/>
  <c r="H92" i="9"/>
  <c r="I92" i="9"/>
  <c r="J92" i="9"/>
  <c r="K92" i="9"/>
  <c r="L92" i="9"/>
  <c r="M92" i="9"/>
  <c r="N92" i="9"/>
  <c r="O92" i="9"/>
  <c r="P92" i="9"/>
  <c r="Q92" i="9"/>
  <c r="R92" i="9"/>
  <c r="S92" i="9"/>
  <c r="T92" i="9"/>
  <c r="V92" i="9"/>
  <c r="E92" i="9"/>
  <c r="F92" i="9"/>
  <c r="E82" i="9"/>
  <c r="F82" i="9"/>
  <c r="G82" i="9"/>
  <c r="H82" i="9"/>
  <c r="I82" i="9"/>
  <c r="J82" i="9"/>
  <c r="K82" i="9"/>
  <c r="L82" i="9"/>
  <c r="M82" i="9"/>
  <c r="N82" i="9"/>
  <c r="O82" i="9"/>
  <c r="P82" i="9"/>
  <c r="Q82" i="9"/>
  <c r="R82" i="9"/>
  <c r="S82" i="9"/>
  <c r="T82" i="9"/>
  <c r="V82" i="9"/>
  <c r="E79" i="9"/>
  <c r="F79" i="9"/>
  <c r="G79" i="9"/>
  <c r="H79" i="9"/>
  <c r="I79" i="9"/>
  <c r="J79" i="9"/>
  <c r="K79" i="9"/>
  <c r="L79" i="9"/>
  <c r="M79" i="9"/>
  <c r="N79" i="9"/>
  <c r="O79" i="9"/>
  <c r="P79" i="9"/>
  <c r="Q79" i="9"/>
  <c r="R79" i="9"/>
  <c r="S79" i="9"/>
  <c r="T79" i="9"/>
  <c r="V79" i="9"/>
  <c r="E53" i="9"/>
  <c r="F53" i="9"/>
  <c r="G53" i="9"/>
  <c r="H53" i="9"/>
  <c r="I53" i="9"/>
  <c r="J53" i="9"/>
  <c r="K53" i="9"/>
  <c r="L53" i="9"/>
  <c r="M53" i="9"/>
  <c r="N53" i="9"/>
  <c r="O53" i="9"/>
  <c r="P53" i="9"/>
  <c r="Q53" i="9"/>
  <c r="R53" i="9"/>
  <c r="S53" i="9"/>
  <c r="T53" i="9"/>
  <c r="V53" i="9"/>
  <c r="E52" i="9"/>
  <c r="F52" i="9"/>
  <c r="G52" i="9"/>
  <c r="H52" i="9"/>
  <c r="I52" i="9"/>
  <c r="J52" i="9"/>
  <c r="K52" i="9"/>
  <c r="L52" i="9"/>
  <c r="M52" i="9"/>
  <c r="N52" i="9"/>
  <c r="O52" i="9"/>
  <c r="P52" i="9"/>
  <c r="Q52" i="9"/>
  <c r="R52" i="9"/>
  <c r="S52" i="9"/>
  <c r="T52" i="9"/>
  <c r="V52" i="9"/>
  <c r="K51" i="9"/>
  <c r="L51" i="9"/>
  <c r="M51" i="9"/>
  <c r="N51" i="9"/>
  <c r="O51" i="9"/>
  <c r="P51" i="9"/>
  <c r="Q51" i="9"/>
  <c r="R51" i="9"/>
  <c r="S51" i="9"/>
  <c r="T51" i="9"/>
  <c r="V51" i="9"/>
  <c r="E51" i="9"/>
  <c r="F51" i="9"/>
  <c r="G51" i="9"/>
  <c r="H51" i="9"/>
  <c r="I51" i="9"/>
  <c r="J51" i="9"/>
  <c r="B49" i="9"/>
  <c r="B51" i="9"/>
  <c r="B52" i="9"/>
  <c r="B53" i="9"/>
  <c r="B79" i="9"/>
  <c r="B82" i="9"/>
  <c r="B48" i="9"/>
  <c r="E49" i="9"/>
  <c r="F49" i="9"/>
  <c r="G49" i="9"/>
  <c r="H49" i="9"/>
  <c r="I49" i="9"/>
  <c r="J49" i="9"/>
  <c r="K49" i="9"/>
  <c r="L49" i="9"/>
  <c r="M49" i="9"/>
  <c r="N49" i="9"/>
  <c r="O49" i="9"/>
  <c r="P49" i="9"/>
  <c r="Q49" i="9"/>
  <c r="R49" i="9"/>
  <c r="S49" i="9"/>
  <c r="T49" i="9"/>
  <c r="V49" i="9"/>
  <c r="E48" i="9"/>
  <c r="F48" i="9"/>
  <c r="G48" i="9"/>
  <c r="H48" i="9"/>
  <c r="I48" i="9"/>
  <c r="J48" i="9"/>
  <c r="K48" i="9"/>
  <c r="L48" i="9"/>
  <c r="M48" i="9"/>
  <c r="N48" i="9"/>
  <c r="O48" i="9"/>
  <c r="P48" i="9"/>
  <c r="Q48" i="9"/>
  <c r="R48" i="9"/>
  <c r="S48" i="9"/>
  <c r="T48" i="9"/>
  <c r="V48" i="9"/>
  <c r="D48" i="9"/>
  <c r="D49" i="9"/>
  <c r="D51" i="9"/>
  <c r="D52" i="9"/>
  <c r="D53" i="9"/>
  <c r="D79" i="9"/>
  <c r="D82" i="9"/>
  <c r="D92" i="9"/>
  <c r="D93" i="9"/>
  <c r="D94" i="9"/>
  <c r="D138" i="9"/>
  <c r="D139" i="9"/>
  <c r="D140" i="9"/>
  <c r="D141" i="9"/>
  <c r="D142" i="9"/>
  <c r="D47" i="9"/>
  <c r="V47" i="9"/>
  <c r="E47" i="9"/>
  <c r="F47" i="9"/>
  <c r="G47" i="9"/>
  <c r="H47" i="9"/>
  <c r="I47" i="9"/>
  <c r="J47" i="9"/>
  <c r="K47" i="9"/>
  <c r="L47" i="9"/>
  <c r="M47" i="9"/>
  <c r="N47" i="9"/>
  <c r="O47" i="9"/>
  <c r="P47" i="9"/>
  <c r="Q47" i="9"/>
  <c r="R47" i="9"/>
  <c r="S47" i="9"/>
  <c r="T47" i="9"/>
  <c r="B47" i="9"/>
  <c r="V8" i="9"/>
  <c r="T8" i="9"/>
  <c r="B8" i="9"/>
  <c r="F8" i="9"/>
  <c r="G8" i="9"/>
  <c r="H8" i="9"/>
  <c r="I8" i="9"/>
  <c r="J8" i="9"/>
  <c r="K8" i="9"/>
  <c r="L8" i="9"/>
  <c r="M8" i="9"/>
  <c r="N8" i="9"/>
  <c r="O8" i="9"/>
  <c r="P8" i="9"/>
  <c r="Q8" i="9"/>
  <c r="R8" i="9"/>
  <c r="S8" i="9"/>
  <c r="E8" i="9"/>
  <c r="D8" i="9"/>
  <c r="O24" i="8" l="1"/>
  <c r="O23" i="8"/>
</calcChain>
</file>

<file path=xl/sharedStrings.xml><?xml version="1.0" encoding="utf-8"?>
<sst xmlns="http://schemas.openxmlformats.org/spreadsheetml/2006/main" count="8510" uniqueCount="643">
  <si>
    <t>INSTRUCTION SHEET</t>
  </si>
  <si>
    <t>STATE HOUSE INFRASTRUCTURE PLAN</t>
  </si>
  <si>
    <t>Options Matrix for DCAMM Certified Study Task 3</t>
  </si>
  <si>
    <r>
      <t xml:space="preserve">This matrix is intended to list and categorize discrete </t>
    </r>
    <r>
      <rPr>
        <b/>
        <sz val="12"/>
        <color theme="1"/>
        <rFont val="Aptos Narrow"/>
        <family val="2"/>
        <scheme val="minor"/>
      </rPr>
      <t>recommended upgrades</t>
    </r>
    <r>
      <rPr>
        <sz val="12"/>
        <color theme="1"/>
        <rFont val="Aptos Narrow"/>
        <family val="2"/>
        <scheme val="minor"/>
      </rPr>
      <t xml:space="preserve"> to the MA State House. </t>
    </r>
  </si>
  <si>
    <t>Each separate upgrade should have it's own individual row in the matrix.</t>
  </si>
  <si>
    <t>Each 'item' (or row) will then be sorted and grouped into recommended 'projects' as part of Task 4 of the Infrastructure Plan.</t>
  </si>
  <si>
    <r>
      <t xml:space="preserve">Please use the </t>
    </r>
    <r>
      <rPr>
        <b/>
        <sz val="12"/>
        <color theme="1"/>
        <rFont val="Aptos Narrow"/>
        <family val="2"/>
        <scheme val="minor"/>
      </rPr>
      <t>dropdown</t>
    </r>
    <r>
      <rPr>
        <sz val="12"/>
        <color theme="1"/>
        <rFont val="Aptos Narrow"/>
        <family val="2"/>
        <scheme val="minor"/>
      </rPr>
      <t xml:space="preserve"> options on the </t>
    </r>
    <r>
      <rPr>
        <b/>
        <sz val="12"/>
        <color theme="1"/>
        <rFont val="Aptos Narrow"/>
        <family val="2"/>
        <scheme val="minor"/>
      </rPr>
      <t>MATRIX</t>
    </r>
    <r>
      <rPr>
        <sz val="12"/>
        <color theme="1"/>
        <rFont val="Aptos Narrow"/>
        <family val="2"/>
        <scheme val="minor"/>
      </rPr>
      <t xml:space="preserve"> Tab for filling out the relavent information. If a column does not apply to that item, leave it blank or select "N/A".</t>
    </r>
  </si>
  <si>
    <r>
      <t xml:space="preserve">Fill in the </t>
    </r>
    <r>
      <rPr>
        <i/>
        <sz val="12"/>
        <color theme="1"/>
        <rFont val="Aptos Narrow"/>
        <family val="2"/>
        <scheme val="minor"/>
      </rPr>
      <t>Name</t>
    </r>
    <r>
      <rPr>
        <sz val="12"/>
        <color theme="1"/>
        <rFont val="Aptos Narrow"/>
        <family val="2"/>
        <scheme val="minor"/>
      </rPr>
      <t xml:space="preserve"> and </t>
    </r>
    <r>
      <rPr>
        <i/>
        <sz val="12"/>
        <color theme="1"/>
        <rFont val="Aptos Narrow"/>
        <family val="2"/>
        <scheme val="minor"/>
      </rPr>
      <t>Supporting Notes</t>
    </r>
    <r>
      <rPr>
        <sz val="12"/>
        <color theme="1"/>
        <rFont val="Aptos Narrow"/>
        <family val="2"/>
        <scheme val="minor"/>
      </rPr>
      <t xml:space="preserve"> columns (no dropdown).</t>
    </r>
  </si>
  <si>
    <t>EXAMPLE:</t>
  </si>
  <si>
    <t>ADD DEFINITIONS</t>
  </si>
  <si>
    <t>BSB2301 STATE HOUSE INFRASTRUCTURE PLAN ("SHIP")</t>
  </si>
  <si>
    <t>$ = &lt;$250,000</t>
  </si>
  <si>
    <t>$$ = $250,000 to $5M</t>
  </si>
  <si>
    <r>
      <rPr>
        <b/>
        <sz val="16"/>
        <color rgb="FFEE0000"/>
        <rFont val="Aptos Narrow"/>
        <family val="2"/>
        <scheme val="minor"/>
      </rPr>
      <t>*</t>
    </r>
    <r>
      <rPr>
        <b/>
        <sz val="10"/>
        <color rgb="FFEE0000"/>
        <rFont val="Aptos Narrow"/>
        <family val="2"/>
        <scheme val="minor"/>
      </rPr>
      <t xml:space="preserve"> </t>
    </r>
    <r>
      <rPr>
        <sz val="9"/>
        <color rgb="FFEE0000"/>
        <rFont val="Aptos Narrow"/>
        <family val="2"/>
        <scheme val="minor"/>
      </rPr>
      <t>INDICATES "SEE NOTES". ADD CLARIFYING INFO FOR ITEM IN THE NOTES SECTION</t>
    </r>
  </si>
  <si>
    <t>$$$ = $5M+</t>
  </si>
  <si>
    <t>[REASON FOR ITEM]</t>
  </si>
  <si>
    <t>[AREA OF IMPACT IN PLAN]</t>
  </si>
  <si>
    <t>[LEVEL OF IMPACT IN SECTION]</t>
  </si>
  <si>
    <t>[DURING IMPLEMENTATION]</t>
  </si>
  <si>
    <t>[CONTRIBUTES TO]</t>
  </si>
  <si>
    <t>Y/N</t>
  </si>
  <si>
    <r>
      <t xml:space="preserve">[LIST PRIMARY SYNERGIES]
</t>
    </r>
    <r>
      <rPr>
        <b/>
        <sz val="9"/>
        <color theme="4"/>
        <rFont val="Aptos Narrow"/>
        <family val="2"/>
        <scheme val="minor"/>
      </rPr>
      <t>SELECT ALL THAT APPLY!</t>
    </r>
  </si>
  <si>
    <r>
      <t xml:space="preserve">[INCLUDE NOTES FOR ANY RESPONSES DENOTED WITH </t>
    </r>
    <r>
      <rPr>
        <b/>
        <sz val="9"/>
        <color theme="4"/>
        <rFont val="Aptos Narrow"/>
        <family val="2"/>
        <scheme val="minor"/>
      </rPr>
      <t xml:space="preserve">* </t>
    </r>
    <r>
      <rPr>
        <sz val="9"/>
        <color theme="4"/>
        <rFont val="Aptos Narrow"/>
        <family val="2"/>
        <scheme val="minor"/>
      </rPr>
      <t>]</t>
    </r>
  </si>
  <si>
    <t>Discipline</t>
  </si>
  <si>
    <t>#</t>
  </si>
  <si>
    <t>Name / Short Description</t>
  </si>
  <si>
    <t>Category</t>
  </si>
  <si>
    <t>Timeline Priority</t>
  </si>
  <si>
    <t>Building Area Impacted</t>
  </si>
  <si>
    <t>Building Level Impacted</t>
  </si>
  <si>
    <t>Relative Operational Impact on Building</t>
  </si>
  <si>
    <r>
      <t xml:space="preserve">Relative Benefit to </t>
    </r>
    <r>
      <rPr>
        <b/>
        <u/>
        <sz val="11"/>
        <color theme="1"/>
        <rFont val="Aptos Narrow"/>
        <family val="2"/>
        <scheme val="minor"/>
      </rPr>
      <t>Users</t>
    </r>
  </si>
  <si>
    <r>
      <t xml:space="preserve">Relative Benefit to </t>
    </r>
    <r>
      <rPr>
        <b/>
        <u/>
        <sz val="11"/>
        <color theme="1"/>
        <rFont val="Aptos Narrow"/>
        <family val="2"/>
        <scheme val="minor"/>
      </rPr>
      <t>Public</t>
    </r>
  </si>
  <si>
    <t>Relative First Cost</t>
  </si>
  <si>
    <t>Relative Operation Cost Impact</t>
  </si>
  <si>
    <t>Relative Operational Energy Usage / Emissions</t>
  </si>
  <si>
    <t>Electrification / EO 594</t>
  </si>
  <si>
    <t>Addressing Resiliency / Sustainability</t>
  </si>
  <si>
    <t>Addressing Deferred Maintenance</t>
  </si>
  <si>
    <t>Code / Life Safety Improvement</t>
  </si>
  <si>
    <t>Accessibility Improvement</t>
  </si>
  <si>
    <t>Historic Impact</t>
  </si>
  <si>
    <t>Potential Synergies</t>
  </si>
  <si>
    <t>Supporting Notes / Additional Info</t>
  </si>
  <si>
    <t>FA</t>
  </si>
  <si>
    <t>ARCHITECTURAL</t>
  </si>
  <si>
    <t>A1</t>
  </si>
  <si>
    <t>Mt. Vernon underpass. Clean and repaint columns and ceiling, and upgrade lighting.</t>
  </si>
  <si>
    <t>DEFERRED MAINTENANCE</t>
  </si>
  <si>
    <t>2_MID 5-10 years</t>
  </si>
  <si>
    <t>ANNEX</t>
  </si>
  <si>
    <t>L1</t>
  </si>
  <si>
    <t>MODERATE</t>
  </si>
  <si>
    <t>N/A</t>
  </si>
  <si>
    <t>$ LOW</t>
  </si>
  <si>
    <t>NO</t>
  </si>
  <si>
    <t>YES</t>
  </si>
  <si>
    <t>HISTORIC PRESERVATION</t>
  </si>
  <si>
    <t>A2</t>
  </si>
  <si>
    <t xml:space="preserve">Commission a full laser scan (building exterior &amp; interior, site) to develop a point cloud model of the current conditions for use as documentation and reference. </t>
  </si>
  <si>
    <t>STUDY / DOCUMENTATION</t>
  </si>
  <si>
    <t>1_HIGH &lt;5 years</t>
  </si>
  <si>
    <t>WHOLE BUILDING</t>
  </si>
  <si>
    <t>LOW</t>
  </si>
  <si>
    <t>CIVIL &amp; LANDSCAPE</t>
  </si>
  <si>
    <t>This model could be a cloud-based (such as Matterport) and accessed via web-based application. Model would be periodically updated based upon completion of significant projects and/or predetermined time intervals to remain current. May be done in conjuntion with site/civil survey.</t>
  </si>
  <si>
    <t>A3</t>
  </si>
  <si>
    <t>Develop an overall BIM model of the building and grounds based upon the point cloud model and other relevant surveys.</t>
  </si>
  <si>
    <t>NONE</t>
  </si>
  <si>
    <t>$$ MODERATE</t>
  </si>
  <si>
    <t xml:space="preserve">This model would serve as the basis for all future design and maintenance efforts and any project BIM models (such as Senate Chamber or Gardner Auditorium) would be referenced into and/or incorporated into the overall file. </t>
  </si>
  <si>
    <t>A4</t>
  </si>
  <si>
    <t xml:space="preserve">Develop a full site survey of the property documenting: Site and legal boundaries; Site utilities and related structures (above and below ground); Site features (stairs, walls, fences, etc.); Topography, grading, and elevations of elements; Trees and plantings, including location, size (caliper), and condition
</t>
  </si>
  <si>
    <t>SITE</t>
  </si>
  <si>
    <t>OTHER *</t>
  </si>
  <si>
    <t>MODERATE REDUCTION</t>
  </si>
  <si>
    <t>MINIMAL IMPACT</t>
  </si>
  <si>
    <t>A5</t>
  </si>
  <si>
    <t>Leverage the existing documentation maintained by DCAMM to develop a library of this information that can be used by BSH and DCAMM staff for reference and maintenance purposes.</t>
  </si>
  <si>
    <t>HIGH</t>
  </si>
  <si>
    <t>Ideally, this database would be accessible via mobile devices (tablets/phones/laptops) and allow the user to search by type of document (drawings/reports), location within the building or grounds, discipline (mechanical, electrical, hazardous materials, etc.), and date. This would allow users to forego the use of the numerous paper sets scattered throughout the State House and provide a common resource for all, including the ability to annotate documents.</t>
  </si>
  <si>
    <t>A6</t>
  </si>
  <si>
    <t>Removal of non-essential stored materials from spaces</t>
  </si>
  <si>
    <t>MECHANICAL</t>
  </si>
  <si>
    <t xml:space="preserve">Assessing which materials are needed for the operation and maintenance of the State House and its grounds and which can be removed. Once the non-essential items are removed, a determination of where best to store the remaining items should be developed and implemented. </t>
  </si>
  <si>
    <t>A7</t>
  </si>
  <si>
    <t>Review storage of items of historical value</t>
  </si>
  <si>
    <t>RESTORATION *</t>
  </si>
  <si>
    <t>Note that special care and consideration should be taken with items of historical value, such as architectural elements and documents, so that their storage location/method is consistent with standards for preservation.</t>
  </si>
  <si>
    <t>A8</t>
  </si>
  <si>
    <t>Swing space study to evaluate  in-building and outside buidling option for relocating staff during proposed work.</t>
  </si>
  <si>
    <t>HIGH REDUCTION</t>
  </si>
  <si>
    <t>ENVELOPE</t>
  </si>
  <si>
    <t>Study could be done in parallel with or just after Envelope Study and incorporate phasing into the findings/recommendations.
Suggest benchmarking for what other state houses have done for this.</t>
  </si>
  <si>
    <t>ARUP</t>
  </si>
  <si>
    <t>ACCESSIBILITY</t>
  </si>
  <si>
    <t>AC1</t>
  </si>
  <si>
    <t>Gardner Auditorium accessible toilet room(s).</t>
  </si>
  <si>
    <t>EAST WING</t>
  </si>
  <si>
    <t>BASEMENT</t>
  </si>
  <si>
    <t>AC10</t>
  </si>
  <si>
    <t>Repair worn and uneven stair treads throughout building as described in Stairwell Study by IHCD dated March 13, 2018.</t>
  </si>
  <si>
    <t>AC11</t>
  </si>
  <si>
    <t>Address wall-mounted objects protruding more than 4 inches into walking path.</t>
  </si>
  <si>
    <t>UPGRADES / IMPROVEMENTS</t>
  </si>
  <si>
    <t>AC12</t>
  </si>
  <si>
    <t>Install fixed obstructions at low vertical clearance areas in upper Library.</t>
  </si>
  <si>
    <t>L4</t>
  </si>
  <si>
    <t>AC13</t>
  </si>
  <si>
    <t>Gardner Auditorium accessibility upgrades as recommended by DCAMM Project Number BSB2301, dated August 23, 2024.</t>
  </si>
  <si>
    <t>$$$ HIGH</t>
  </si>
  <si>
    <t>AC14</t>
  </si>
  <si>
    <t>Modify fixed furniture in hearing rooms to provide wheelchair clearances.</t>
  </si>
  <si>
    <t>AC15</t>
  </si>
  <si>
    <t>House Chamber accessibility upgrades as described in the study report dated January 15, 2016.</t>
  </si>
  <si>
    <t>L3</t>
  </si>
  <si>
    <t>AC2</t>
  </si>
  <si>
    <t>Accessibility to 427, 436, and 462. Consider wheelchair lifts.</t>
  </si>
  <si>
    <t>AC3</t>
  </si>
  <si>
    <t>Improve wayfinding signage at interior from Ashburton Park entrance to various public function areas, including signs indicating locations of accessible restrooms.</t>
  </si>
  <si>
    <t>AC4</t>
  </si>
  <si>
    <t>Third Floor accessible restroom.</t>
  </si>
  <si>
    <t>AC5</t>
  </si>
  <si>
    <t>Fourth Floor accessible women's restroom.</t>
  </si>
  <si>
    <t>AC6</t>
  </si>
  <si>
    <t>Replace/repair noncompliant door hardware and nonfunctioning automatic door openers.</t>
  </si>
  <si>
    <t>AC7</t>
  </si>
  <si>
    <t>Install automatic openers on lift doors and reposition lift controls at wheelchair lift serving Doric Hall.</t>
  </si>
  <si>
    <t>BULFINCH</t>
  </si>
  <si>
    <t>L2</t>
  </si>
  <si>
    <t>AC8</t>
  </si>
  <si>
    <t xml:space="preserve">Provide improved exterior wayfinding 
signage adjacent to all public 
sidewalks around the building. </t>
  </si>
  <si>
    <t>AC9</t>
  </si>
  <si>
    <t>Upgrade handrails at stairs as described in Stairwell Study by IHCD dated March 13, 2018.</t>
  </si>
  <si>
    <t>NITSCH</t>
  </si>
  <si>
    <t>CIVIL</t>
  </si>
  <si>
    <t>C1</t>
  </si>
  <si>
    <t>Underground Piping. Initiate camera study to determine condition of underground piping.</t>
  </si>
  <si>
    <t>3_LOW 10-20 years</t>
  </si>
  <si>
    <t>LEVELS BELOW GRADE</t>
  </si>
  <si>
    <t>C2</t>
  </si>
  <si>
    <t xml:space="preserve">Recommend that a hydrant flow test be performed to determine the pressure of the existing water system.  </t>
  </si>
  <si>
    <t>C3</t>
  </si>
  <si>
    <t>Site utility survey</t>
  </si>
  <si>
    <t>C4</t>
  </si>
  <si>
    <t>Separate combined storm/sewer</t>
  </si>
  <si>
    <t>LANDSCAPE</t>
  </si>
  <si>
    <t>C5</t>
  </si>
  <si>
    <t xml:space="preserve">Green Infrastructure to retain, on site, a volume of runoff equal to 1.25-inches of rainfall across the portion of impervious area located on the Project Site. </t>
  </si>
  <si>
    <t>C6</t>
  </si>
  <si>
    <t xml:space="preserve">Nitsch recommends that any water meter not being used should have its connection at the main cut and capped and the water meter should be returned to BWSC. 
 </t>
  </si>
  <si>
    <t>END OF LIFE</t>
  </si>
  <si>
    <t>PEI</t>
  </si>
  <si>
    <t>ELECTRICAL</t>
  </si>
  <si>
    <t>E1</t>
  </si>
  <si>
    <t>Interior Lighting. Provide all LED lighting including local controls where applicable.</t>
  </si>
  <si>
    <t>Reduction in building loads therefore reduction in electrical/gas consumption</t>
  </si>
  <si>
    <t xml:space="preserve">Improving energy efficiency of these systems, reducing building loads, will make task of electrification easier. </t>
  </si>
  <si>
    <t>E2</t>
  </si>
  <si>
    <t>Replace Generator at roof.</t>
  </si>
  <si>
    <t>ROOF</t>
  </si>
  <si>
    <t>E3</t>
  </si>
  <si>
    <t xml:space="preserve">Exterior Lighting. Include comprehensive design approach to existing pole lighting*, landscape lighting, and building lighting. </t>
  </si>
  <si>
    <t xml:space="preserve">To include comprehensive/coordinated design approach to existing pole lighting (16 of 24 on the front lawn to be recreated, Ashburton Park and Mount Vernon street have pole lights approximately 12), landscape lighting, and building lighting. </t>
  </si>
  <si>
    <t>E4</t>
  </si>
  <si>
    <t>Replace the existing switchboards and panelboard</t>
  </si>
  <si>
    <t>Building Electrification Efforts</t>
  </si>
  <si>
    <t>E5</t>
  </si>
  <si>
    <t>Study for upgrading utility service to support electrification</t>
  </si>
  <si>
    <t>FAA</t>
  </si>
  <si>
    <t>EN01</t>
  </si>
  <si>
    <t>Replace Great Hall Skylight glazing, frame, and curb to reduce thermal bridges and assembly U-value</t>
  </si>
  <si>
    <t>MECHANICAL, STRUCTURAL, ARCHITECTURAL</t>
  </si>
  <si>
    <t>Upgrade skylight to insulated glass unit with low SHGC &amp; appropriate low-e coatings. Price triple-pane. Framing to be thermally-broken with warm-edge spacers. Insulate at roof curb to mitigate structural thermal bridge.</t>
  </si>
  <si>
    <t>DCAMM
FAA
SGH</t>
  </si>
  <si>
    <t>EN02</t>
  </si>
  <si>
    <t>Wood Windows: Repair/Restore or replace per security and thermal performance desires. Air seal, weatherstrip and paint.</t>
  </si>
  <si>
    <t>ENVELOPE (EXT. WALLS)</t>
  </si>
  <si>
    <t>HISTORIC PRESERVATION, MECHANICAL, SECURITY</t>
  </si>
  <si>
    <t>Windows deteriorated and need to be addressed. Most are not original material. Appropriate approach depends upon DCAMM/BSH's other goals. At a minimum, deterioration, operability, and air leakage should be addressed in refurbishment. Security and additional thermal improvements possible with replacement or addition of storms.  If repairing, considering interior storms for improved thermal performance.</t>
  </si>
  <si>
    <t>DCAMM</t>
  </si>
  <si>
    <t>EN03</t>
  </si>
  <si>
    <t>Insulate West Wing roofs. Assume at ceiling level.</t>
  </si>
  <si>
    <t>WEST WING</t>
  </si>
  <si>
    <t>EN04</t>
  </si>
  <si>
    <t>Insulate East Wing  roofs. Assume at ceiling level.</t>
  </si>
  <si>
    <t>EN05</t>
  </si>
  <si>
    <t>Full Roof Study including adding insulation &amp; structural load implications</t>
  </si>
  <si>
    <t>STRUCTURAL, Mechanical</t>
  </si>
  <si>
    <t>EN06</t>
  </si>
  <si>
    <t>Add Interior Storm Windows to all single-pane, existing windows.</t>
  </si>
  <si>
    <t>MECHANICAL, HISTORIC PRESERVATION</t>
  </si>
  <si>
    <t>Will likely have a greater energy impact for areas that also have mechanical ventilation.</t>
  </si>
  <si>
    <t>EN07</t>
  </si>
  <si>
    <t>Weatherstripping &amp; Astragals on existing exterior doors.</t>
  </si>
  <si>
    <t>BSH</t>
  </si>
  <si>
    <t>EN08</t>
  </si>
  <si>
    <t xml:space="preserve">Investigate Water infiltration into Room 62 DCR Break Room below West Wing Plaza. Complete repairs. </t>
  </si>
  <si>
    <t>0_PRIORITY *</t>
  </si>
  <si>
    <t>LANDSCAPE, HISTORIC PRESERVATION</t>
  </si>
  <si>
    <t>Current water leak occuring in Room 62. Added to the list from DCAMM / BSH discussion. Cost and impact cannot be determined until cause identified.</t>
  </si>
  <si>
    <t>EN09</t>
  </si>
  <si>
    <t>Airseal &amp; Insulate All Fireplace Flues</t>
  </si>
  <si>
    <t>Remove existing blocking. Insulate w/ mineral wool. Air seal around new blocking.</t>
  </si>
  <si>
    <t>EN10</t>
  </si>
  <si>
    <t>Airseal &amp; Add insulation at Dome and adjacent Bulfinch sloped roofs. Assume at ceiling level</t>
  </si>
  <si>
    <t>EN11</t>
  </si>
  <si>
    <t>New insulation at underside of sloped Annex Roofs</t>
  </si>
  <si>
    <t>SGH</t>
  </si>
  <si>
    <t>EN12</t>
  </si>
  <si>
    <t>Aluminum Windows: replace perimeter sealants</t>
  </si>
  <si>
    <t>EN13</t>
  </si>
  <si>
    <t xml:space="preserve">Wing L5 Cladding: Resecure several loose copper wall panels. </t>
  </si>
  <si>
    <t>EN14</t>
  </si>
  <si>
    <t xml:space="preserve">Wing Slate Roofs: Replace cracked and missing slate. </t>
  </si>
  <si>
    <t>EN15</t>
  </si>
  <si>
    <t>West Wing and Portico PVC Roofs: replace in kind</t>
  </si>
  <si>
    <t>EN16</t>
  </si>
  <si>
    <t>Bulfinch Portico 2nd and 3rd Floor Roofs: replace waterproofing membrane</t>
  </si>
  <si>
    <t>4_FUTURE &gt;20 years</t>
  </si>
  <si>
    <t>EN17</t>
  </si>
  <si>
    <t>Hall of Flags Roof: Confirm if active leaks and address seam deficiencies if active.</t>
  </si>
  <si>
    <t>EN18</t>
  </si>
  <si>
    <t>Cooling Tower Roof: Replace or repaint rusting equipment and repair penetrations.</t>
  </si>
  <si>
    <t>MECHANICAL, PLUMBING</t>
  </si>
  <si>
    <t>EN19</t>
  </si>
  <si>
    <t xml:space="preserve">Cooling Tower Roof: Replace PVC roof </t>
  </si>
  <si>
    <t>EN20</t>
  </si>
  <si>
    <t>Annex Roof: Confirm if active leak at east elevation sprial staircase to roof and repair</t>
  </si>
  <si>
    <t>EN21</t>
  </si>
  <si>
    <t xml:space="preserve">Annex Roof: Remove and repair abandoned roof penetrations. </t>
  </si>
  <si>
    <t>EN22</t>
  </si>
  <si>
    <t>Annex Modified Bitumen Roofs: replace w/ new insulation to meet energy code</t>
  </si>
  <si>
    <t>EN23</t>
  </si>
  <si>
    <t xml:space="preserve">House Chamber Roof: Investigate active leaks at House Chamber. Repair and/or partial replacement. </t>
  </si>
  <si>
    <t>Need to coordinate interior repairs to House Chamber when roof leaks are addressed. Scope of work and cost will depend upon findings of investigation.</t>
  </si>
  <si>
    <t>EN24</t>
  </si>
  <si>
    <t xml:space="preserve">Annex Skylights: Investigate Annex skylight leaks and repair as required. </t>
  </si>
  <si>
    <t>Skylights date to approx. 2010; estimate 10 to 15 years of remaining lifepsan before IGUs fail and additional scope required.</t>
  </si>
  <si>
    <t>EN25</t>
  </si>
  <si>
    <t>Annex Skylights: replace skylights w/ high performance glazing per energy code</t>
  </si>
  <si>
    <t>EN26</t>
  </si>
  <si>
    <t xml:space="preserve">Annex Portico Roofs: reanchor railing. Assess railing upgrades to meet code. </t>
  </si>
  <si>
    <t>EN27</t>
  </si>
  <si>
    <t xml:space="preserve">Wall Insulation: Assess options to provide insulation where none exists; consider with scheduled replacement of roofs or interior finishes. </t>
  </si>
  <si>
    <t>STRUCTURAL, ARCHITECTURAL</t>
  </si>
  <si>
    <t>Insulation will only have impact on energy usage if impacts operation of HVAC equipment. SGH energy modeling on similar buildings show a energy usage change in the 5% range.</t>
  </si>
  <si>
    <t>EN28</t>
  </si>
  <si>
    <t>Bulfinch 2nd Floor Portico: Maintain sealant to prevent leakage at Bulfinch entrance stairs adjacent to 2nd floor Portico or consider removal and reinstallation of paving treads to provide more durable repair.</t>
  </si>
  <si>
    <t>Higher costs if take more durable approach.</t>
  </si>
  <si>
    <t>EN29</t>
  </si>
  <si>
    <t>Bulfinch Entry Stair and Landing: Address paving and mortar deterioration</t>
  </si>
  <si>
    <t>LANDSCAPE, CIVIL, ACCESSIBILITY / UNIVERSAL DESIGN</t>
  </si>
  <si>
    <t>Cost will depend upon approach; repointing is low, rebuilding is moderate.</t>
  </si>
  <si>
    <t>EN30</t>
  </si>
  <si>
    <t>General Hooker Entrance Upper Landing: Investigate cause and repair leak. Scope of work unknown</t>
  </si>
  <si>
    <t>Cost cannot be determined until project scope confirmed with investigation.</t>
  </si>
  <si>
    <t>EN31</t>
  </si>
  <si>
    <t xml:space="preserve">Hooker Entrance: Address Shifting Pavers and Related Conditions at Hooker Entrance Plaza Paving </t>
  </si>
  <si>
    <t>EN32</t>
  </si>
  <si>
    <t>Annex 4th Floor Porticos: Replace PVC roof</t>
  </si>
  <si>
    <t>EN33</t>
  </si>
  <si>
    <t>West Wing: Investigate and repair leak into West Wing Library Archive Walls</t>
  </si>
  <si>
    <t>LANDSCAPE, CIVIL</t>
  </si>
  <si>
    <t>Cost and impact cannot be determined until cause identified.</t>
  </si>
  <si>
    <t>EN34</t>
  </si>
  <si>
    <t>Mt Vernon Tunnel and Room 13 Below Stairs: Investigate leaks and repair</t>
  </si>
  <si>
    <t>EN35</t>
  </si>
  <si>
    <t>Room SB46 and 47, Annex West Elevation: Investigate leaks and repair</t>
  </si>
  <si>
    <t>EN36</t>
  </si>
  <si>
    <t>Ashburton Park Retaining Walls: Point mortar joints and clean retaining walls</t>
  </si>
  <si>
    <t>EN37</t>
  </si>
  <si>
    <t>Coal Pocket: Investigate and repair leaks at south wall adjacent to East Wing</t>
  </si>
  <si>
    <t>FIRE ALARM</t>
  </si>
  <si>
    <t>F1</t>
  </si>
  <si>
    <t>Upgrade Fire Alarm control panel. ECS-4 to replace end-of-life ECS-3.</t>
  </si>
  <si>
    <t>Scope to include documentation of existing system including modifications post-2013.
Note that scope/estimate does NOT include approach to VESDA system, which will have to be determined during the study phase for the work.</t>
  </si>
  <si>
    <t>F2</t>
  </si>
  <si>
    <t>Automate Mass Notification. Requires confirmation of audibility of system throughout building.</t>
  </si>
  <si>
    <t>FIRE PROTECTION</t>
  </si>
  <si>
    <t>FP1</t>
  </si>
  <si>
    <t xml:space="preserve">Replace all instances of corroded sprinkler heads throughout the building. </t>
  </si>
  <si>
    <t>To be confirmed if this will be done under the auspices of DCAMM's Facilities Maintenance group or through another entity.</t>
  </si>
  <si>
    <t>FP2</t>
  </si>
  <si>
    <t xml:space="preserve">Replace/install all instances of damaged or missing escutcheons for sidewall and concealed pendent sprinklers throughout the building. </t>
  </si>
  <si>
    <t>FP3</t>
  </si>
  <si>
    <t xml:space="preserve">Continue and complete the existing, ongoing project to bring the fire pump room up to NFPA 20 compliance. </t>
  </si>
  <si>
    <t>SUB BASEMENT</t>
  </si>
  <si>
    <t>Refer to prior draft study. Update as needed, pre-SD</t>
  </si>
  <si>
    <t>F&amp;O</t>
  </si>
  <si>
    <t>HAZARDOUS MATERIALS</t>
  </si>
  <si>
    <t>HM1</t>
  </si>
  <si>
    <t>Recommend performing a visual inventory of presumed PCB-containing bulk product material</t>
  </si>
  <si>
    <t>HM2</t>
  </si>
  <si>
    <t>Prior to any renovation and/or selective demolition activities, recommend performing supplemental exploratory investigations to identify potentially concealed material types and to collect any newly identified suspect materials for laboratory analysis</t>
  </si>
  <si>
    <t>Would be a requirement for all projects in the State House</t>
  </si>
  <si>
    <t>BCA</t>
  </si>
  <si>
    <t>HP1</t>
  </si>
  <si>
    <t>Exterior Masonry. Maintenance restoration campaign to include selective clean, repoint and repairs.</t>
  </si>
  <si>
    <t>INCREASE</t>
  </si>
  <si>
    <t>Done as part of Dome work or as an immediate repair?</t>
  </si>
  <si>
    <t>HP2</t>
  </si>
  <si>
    <t>Great Stair murals. Clean and restore.</t>
  </si>
  <si>
    <t>LEVELS ABOVE GRADE</t>
  </si>
  <si>
    <t>HP3</t>
  </si>
  <si>
    <t>Cleaning/ Restoration Interior Stained Glass Skylights</t>
  </si>
  <si>
    <t>HP4</t>
  </si>
  <si>
    <t>Monitor step cracks at NE and NW corners of Brigham Annex</t>
  </si>
  <si>
    <t>HP5</t>
  </si>
  <si>
    <t>Comprehensive exterior envelope restoration</t>
  </si>
  <si>
    <t>ENVELOPE, STRUCTURAL</t>
  </si>
  <si>
    <t>With routine maintenance, full restoration would not be required for another 20+ years. Coordinate scope &amp; timing w/ Envelope Study Priority Project. 
"If this maintenance operation is completed, a comprehensive exterior envelope restoration project, similar in scale to the 2004 project, should not be necessary until 2045-2050. If the interim maintenance work is not completed, the deterioration that has started will accelerate and a comprehensive restoration campaign should be scheduled in 2035. "</t>
  </si>
  <si>
    <t>HP6</t>
  </si>
  <si>
    <t>Maintenance restoration campaign to address the minor issues on all of the exterior facades is recommended.</t>
  </si>
  <si>
    <t>The work should be completed within five years to stabilize the envelope and keep the small issues from leading to accelerated deterioration of surrounding material. This work can be phased by elevation and scheduled over several years, depending on funding.</t>
  </si>
  <si>
    <t>BR+R</t>
  </si>
  <si>
    <t>Hooker Entrance. Include paving, steps, railings, and plantings.</t>
  </si>
  <si>
    <t>ACCESSIBILITY / UNIVERSAL DESIGN</t>
  </si>
  <si>
    <t>BSH Maintenance Shed. New construction in west lawn off Mt. Vernon Street.</t>
  </si>
  <si>
    <t>Recommend that a comprehensive exterior accessibility study with recommendations be prepared</t>
  </si>
  <si>
    <t>Unutilized areaways could be made more sustainable by planting with bioretention style plantings. Waterproofing is an important concern as is maintenance of these spaces and access to area drains and other infrastructure within them</t>
  </si>
  <si>
    <t>L5</t>
  </si>
  <si>
    <t>Based upon survey of existing trees and plantings, develop design recommendations for maintenance and/or replacement</t>
  </si>
  <si>
    <t>SECURITY</t>
  </si>
  <si>
    <t>L6</t>
  </si>
  <si>
    <t>There is an irrigation system for the lawns and planting areas. The system does not include rain gauges or  soil moisture-based sensors or flow meters that could improve efficiency and guard against overuse of  water and detect leaks. 
Review options to improve performance and efficiency of these systems.</t>
  </si>
  <si>
    <t>M1</t>
  </si>
  <si>
    <t xml:space="preserve">Deferred maintenance, pipe and duct insulation repair and upgrades.  Repair and replacement to toilet extract systems. </t>
  </si>
  <si>
    <t>…write in… Building Systems, mechanical, electrical, plumbing and overall performance</t>
  </si>
  <si>
    <t xml:space="preserve">Item covers several "simple" maintenance/upgrade tasks that will improve existing systems. </t>
  </si>
  <si>
    <t>M2</t>
  </si>
  <si>
    <t xml:space="preserve">Carry out seasonal/ongoing commissioning to assess system performance and control over time. </t>
  </si>
  <si>
    <t xml:space="preserve">Historic fixes may have impacted building automation reducing the overall effectiveness and efficiency of the systems.  E.G. discovery of closed fire dampers blocking ventilation paths. This is crucial analysis to identify current system performance and identify paths to improvements.  </t>
  </si>
  <si>
    <t>M3</t>
  </si>
  <si>
    <t xml:space="preserve">Phased pipework replacement and continued water quality monitoring and improvement. </t>
  </si>
  <si>
    <t>…write in…Building Systems, mechanical, electrical, plumbing and overall performance</t>
  </si>
  <si>
    <t xml:space="preserve">Poor water quality discovered in 2018 has had a detrimental effect on equipment and pipework leading to increased likelihood of failures.  Replacing/upgrading pipework is recommended especially if work can be aligned with other invasive upgrades. </t>
  </si>
  <si>
    <t>M4</t>
  </si>
  <si>
    <t>Remove abandoned mechanical equipment to regain space for future upgrades</t>
  </si>
  <si>
    <t xml:space="preserve">Significant abandoned equipment located through building - removal would free up space for future upgrades.  </t>
  </si>
  <si>
    <t>M5</t>
  </si>
  <si>
    <t xml:space="preserve">Provide mechanical ventilation to areas of the building that rely on natural ventilation or are currently unventilated. </t>
  </si>
  <si>
    <t xml:space="preserve">Retrofitting mechanical ventilation is challenging.  The East Wing is a sensible starting point as the West Wing has demonstrated that it is possible.  Areas in the Annex will be harder but the potential impact is high. </t>
  </si>
  <si>
    <t>M6</t>
  </si>
  <si>
    <t>Consider boiler end of life and possible transition to heat pump/electric heating.</t>
  </si>
  <si>
    <t xml:space="preserve">Electrification is essential to move away from fossil fuels.  A transition to air or ground source heat pump system should be considered as the current gas fired boilers approach end of life.  </t>
  </si>
  <si>
    <t>M7</t>
  </si>
  <si>
    <t>Remove two large, disconnected air compressors from the boiler room.</t>
  </si>
  <si>
    <t>Per discussion with DCAMM, this work will be completed as part of the ongoing Chiller replacement project.</t>
  </si>
  <si>
    <t>M8</t>
  </si>
  <si>
    <t>Heat Recovery on toilet exhaust system</t>
  </si>
  <si>
    <t>PLUMBING</t>
  </si>
  <si>
    <t>P1</t>
  </si>
  <si>
    <t xml:space="preserve">Due to age and efficiency, it is assumed within the next 5 years replacement of the domestic hot water heat exchanger HEX-2 should occur. </t>
  </si>
  <si>
    <t>P2</t>
  </si>
  <si>
    <t xml:space="preserve">Currently the majority of the domestic water system is insulated; however the missing /damaged insulation should be replaced with a vapor-sealed fiberglass insulation and service jacket. </t>
  </si>
  <si>
    <t>STRUCTURAL</t>
  </si>
  <si>
    <t>S1</t>
  </si>
  <si>
    <t xml:space="preserve">Make necessary repairs to be identified via study at Parking Garage. </t>
  </si>
  <si>
    <t xml:space="preserve">At existing parking Garage below Ashburton Park. There may be synergies with top floor MEP and garage water management. </t>
  </si>
  <si>
    <t>S2</t>
  </si>
  <si>
    <t>Address water infiltration and make necessary repairs at foundation wall below Hooker Entrance</t>
  </si>
  <si>
    <t>S3</t>
  </si>
  <si>
    <t xml:space="preserve">Investigate and repair marble column cracking at west Annex porticos. </t>
  </si>
  <si>
    <t>S4</t>
  </si>
  <si>
    <t>Address masonry deterioration at Mt. Vernon tunnel. Address water infiltration before pointing and replacing masonry.</t>
  </si>
  <si>
    <t>S5</t>
  </si>
  <si>
    <t>Address minor steel corrosion at Mt. Vernon Passageway. Clean and recoat regularly.</t>
  </si>
  <si>
    <t xml:space="preserve">At Mt. Vernon passageway columns and tile arch steel members. </t>
  </si>
  <si>
    <t>S6</t>
  </si>
  <si>
    <t>Repair at temporary shoring at structual stacks failure.</t>
  </si>
  <si>
    <t xml:space="preserve">Current shoring can serve as medium-term solution. </t>
  </si>
  <si>
    <t>S7</t>
  </si>
  <si>
    <t>Structural Analysis of existing roof snow loads to support added insulation.</t>
  </si>
  <si>
    <t>See also EN5</t>
  </si>
  <si>
    <t>SC1</t>
  </si>
  <si>
    <t>Mt. Vernon barriers. Provide new barriers at east and west ends of Mt. Vernon Street.</t>
  </si>
  <si>
    <t>SC10</t>
  </si>
  <si>
    <t xml:space="preserve">Conduct a video surveillance and access control system study to identify manufacturers, models, and versions. Result of study should assess lifespan of existing systems and if those systems should be replaced. </t>
  </si>
  <si>
    <t>TELECOMMUNICATION</t>
  </si>
  <si>
    <t>SC11</t>
  </si>
  <si>
    <t>Vehicle dynamics assessment</t>
  </si>
  <si>
    <t>SC2</t>
  </si>
  <si>
    <t>Conduct a lighting study at the exterior of the building.</t>
  </si>
  <si>
    <t>SC3</t>
  </si>
  <si>
    <t xml:space="preserve">Additional supplemental camera installation at exterior of building to cover existing blind spots. </t>
  </si>
  <si>
    <t>SC4</t>
  </si>
  <si>
    <t>Conduct a Crime Pervention Through Environmental Design (CPTED) study.</t>
  </si>
  <si>
    <t>SC5</t>
  </si>
  <si>
    <t xml:space="preserve">Conduct a window study at exterior windows. </t>
  </si>
  <si>
    <t>SC6</t>
  </si>
  <si>
    <t xml:space="preserve">Replace, harden, or increase height of perimeter fence. Conduct study to assess vehicle ratedness. </t>
  </si>
  <si>
    <t>SC7</t>
  </si>
  <si>
    <t xml:space="preserve">Improve loading dock operations or install new screening/chemical detection technology such that all vehicles are adaquately screened. </t>
  </si>
  <si>
    <t>SC8</t>
  </si>
  <si>
    <t xml:space="preserve">Assess existing man door building entrances and effectiveness of existing security booths and guards. If needed, install man trap doors and/or increase number of security booths or guards. </t>
  </si>
  <si>
    <t>SC9</t>
  </si>
  <si>
    <t>Conduct a study to create security record drawings of existing access control, video surveillance, and intercommunications systems</t>
  </si>
  <si>
    <t>TELECOMM</t>
  </si>
  <si>
    <t>T1</t>
  </si>
  <si>
    <t xml:space="preserve">Assess all analog, hardwired, and legacy systems to determine whether they are still required or can be decommissioned. 
Remove inactive infrastructure to reduce complexity and maintenance costs. </t>
  </si>
  <si>
    <t>T2</t>
  </si>
  <si>
    <t xml:space="preserve">Establish a centralized telecom hub to streamline management and troubleshooting. 
Replace outdated telecom hardware and ensure consistent equipment across the facility. </t>
  </si>
  <si>
    <t>T3</t>
  </si>
  <si>
    <t xml:space="preserve">Consolidate battery backup systems into a centralized UPS to reduce energy consumption and maintenance requirements. 
Transition to modern UPS systems to improve efficiency and lower operational costs. </t>
  </si>
  <si>
    <t>BSB2301 STATE HOUSE INFRASTRUCTURE PLAN [SHIP]</t>
  </si>
  <si>
    <t>ORGANIZATION BY PROJECT AS ILLUSTRATED IN CONCEPTBOARD:</t>
  </si>
  <si>
    <t>https://app.conceptboard.com/board/f0me-e76e-2982-gnpi-oun0</t>
  </si>
  <si>
    <t>Project #</t>
  </si>
  <si>
    <t>Quantities for Estimating 
(by Project #)</t>
  </si>
  <si>
    <t>PP10</t>
  </si>
  <si>
    <t>PARKING GARAGE IMPROVEMENTS</t>
  </si>
  <si>
    <t>PP11</t>
  </si>
  <si>
    <t>FIRE PUMP UPGRADE</t>
  </si>
  <si>
    <t>PP12</t>
  </si>
  <si>
    <t>UPGRADE FIRE ALARM</t>
  </si>
  <si>
    <t>PP13</t>
  </si>
  <si>
    <t>INTERIOR LIGHTING UPGRADES: LED's</t>
  </si>
  <si>
    <t xml:space="preserve">Approximately 460,000 sq. ft. of LED lights.
</t>
  </si>
  <si>
    <t>PP14</t>
  </si>
  <si>
    <t>REPLACE EMERGENCY GENERATOR</t>
  </si>
  <si>
    <t xml:space="preserve">Assume 1 MW at 480V, 3-phase, 4-wire in a Level 2 attenuated enclosure, a 200 kW load bank, and a day tank.
</t>
  </si>
  <si>
    <t>PP15</t>
  </si>
  <si>
    <t>HOOKER ENTRANCE</t>
  </si>
  <si>
    <t>Allowance for 5000 SF waterproofing below pavers</t>
  </si>
  <si>
    <t>100 LF of step railings, 4000 SF paving, 15 concrete steps (1260 LF steps), 8550 SF landscape/plantings</t>
  </si>
  <si>
    <t>Outline scope and LF/QTY of wall if available
(100 LF basement wall below Hooker)</t>
  </si>
  <si>
    <t>PP16</t>
  </si>
  <si>
    <t>INTERIOR HISTORIC FABRIC RESTORATION</t>
  </si>
  <si>
    <t xml:space="preserve">TBD - based on future studies (hold allowance)
</t>
  </si>
  <si>
    <t xml:space="preserve">TBD - based on future studies (hold allowance)
</t>
  </si>
  <si>
    <t>PP20</t>
  </si>
  <si>
    <t>ROOF UPGRADES</t>
  </si>
  <si>
    <t>20a
ANNEX</t>
  </si>
  <si>
    <t>EN1</t>
  </si>
  <si>
    <t>(1) 5,000 SF skylight, barrel vault style. Replace w/ thermally broken frame &amp; triple-pane glazing.</t>
  </si>
  <si>
    <t>Annex Pitched Roofs: 50,000 SF</t>
  </si>
  <si>
    <t>Annex Bitumen Roof: 12,000 SF. Replace w/ 6" polyiso insulation &amp; new roofing membrane</t>
  </si>
  <si>
    <t>Annex smaller Skylights: (16 skylights) total 5000 SF</t>
  </si>
  <si>
    <t>20b
E  &amp; W WING</t>
  </si>
  <si>
    <t>19,500 SF slate roof; total for East AND West wings</t>
  </si>
  <si>
    <t>EN3</t>
  </si>
  <si>
    <t>9000 SF insulation at ceiling level WEST Wing Roof</t>
  </si>
  <si>
    <t>EN4</t>
  </si>
  <si>
    <t>9000 SF insulation at ceiling level EAST Wing Roof</t>
  </si>
  <si>
    <t>20c
BULFINCH</t>
  </si>
  <si>
    <t>3500 SF insulation at ceiling level; Bulfinch Dome</t>
  </si>
  <si>
    <t>7000 SF slate roof; Bulfinch Roof only</t>
  </si>
  <si>
    <t>PP21</t>
  </si>
  <si>
    <t>EAST WING VERTICAL EXTERIOR ENVELOPE</t>
  </si>
  <si>
    <t>A</t>
  </si>
  <si>
    <t>EN2</t>
  </si>
  <si>
    <t>EAST Wing: (178) Wood Windows. About 8050 SF windows.</t>
  </si>
  <si>
    <t>EN6</t>
  </si>
  <si>
    <t>EAST Wing: (178) Single-pane windows to receive storms. About 8050 SF.</t>
  </si>
  <si>
    <t>EAST Wing: (38) Aluminum Windows. 760 LF of perimeter sealants.</t>
  </si>
  <si>
    <t>Hold 600 SF metal wall cladding repair</t>
  </si>
  <si>
    <t>20,000 SF. Fur out interiors of exterior walls w/ 2.5" studs + 3" closed cell spray foam + 1layer gypsum board.</t>
  </si>
  <si>
    <t>"The building's unconditioned spaces require a total of 32,000 CFM to mechanically ventilate to code. Ability to add mechanical ventilation depends on impact to historical building elements, constructability and access to a riser/shaft.  Separate areas to consider are:
1.  The east wing's  AHU-14 has 7,500CFM of capacity  (installed as part of G84) and risers to be used to ventilate the ~50ksf of the east wing to code required 4,550CFM, similar to AHU-11 in the west wing. 
2. 68 ksf of perimeter offices in the Bullfinch and Annex are naturally ventilated and would require 5,800CFM to ventilate to code.
3. The remaining ~280ksf in the interior of the building currently passively ventilated or unventilated which would require 60,475CFM to ventilate to code.
"</t>
  </si>
  <si>
    <t>PP22</t>
  </si>
  <si>
    <t>ANNEX VERTICAL EXTERIOR ENVELOPE</t>
  </si>
  <si>
    <t>ANNEX: (455) Windows. About 20,500 SF</t>
  </si>
  <si>
    <t>ANNEX: (455) Windows to add Interior Storms. About 20,500 SF</t>
  </si>
  <si>
    <t>50,000 SF. Fur out interiors of exterior walls w/ 2.5" studs + 3" closed cell spray foam + 1layer gypsum board.</t>
  </si>
  <si>
    <t xml:space="preserve">"The building's unconditioned spaces require a total of 32,000 CFM to mechanically ventilate to code. Ability to add mechanical ventilation depends on impact to historical building elements, constructability and access to a riser/shaft.  Separate areas to consider are:
1.  The east wing's  AHU-14 has 7,500CFM of capacity  (installed as part of G84) and risers to be used to ventilate the ~50ksf of the east wing to code required 4,550CFM, similar to AHU-11 in the west wing. 
2. 68 ksf of perimeter offices in the Bullfinch and Annex are naturally ventilated and would require 5,800CFM to ventilate to code.
3. The remaining ~280ksf in the interior of the building currently passively ventilated or unventilated which would require 60,475CFM to ventilate to code.
"
</t>
  </si>
  <si>
    <t>PP23</t>
  </si>
  <si>
    <t>WEST WING VERTICAL EXTERIOR ENVELOPE</t>
  </si>
  <si>
    <t>WEST Wing: (175) Wood Windows. About 8,000 SF windows.</t>
  </si>
  <si>
    <t>WEST Wing: (175) Single-pane windows to receive storms. About 8000 SF.</t>
  </si>
  <si>
    <t>PP24</t>
  </si>
  <si>
    <t>BULFINCH VERTICAL EXTERIOR ENVELOPE</t>
  </si>
  <si>
    <t>BULFINCH: (80) Wood Windows. About 4000 SF.</t>
  </si>
  <si>
    <t>BULFINCH: Add (80) Interior Storm Windows. About 4,000 SF.</t>
  </si>
  <si>
    <t>PP25</t>
  </si>
  <si>
    <t>HEAT RECOVERY ON TOILET EXHAUST</t>
  </si>
  <si>
    <t xml:space="preserve">Total of (19) individual toilet exhaust fans without energy recovery currently serve 17,120 SF of toilet space. Currently operating fans are exhausting 8,966CFM.  To ventilate to code (50cfm/fixture) will require 8,550 minimum of ventilation.  Recommend replacing with a centralized system.
</t>
  </si>
  <si>
    <t>PP26</t>
  </si>
  <si>
    <t>TRANSITION TO HEAT PUMPS (REMOVING BOILERS)</t>
  </si>
  <si>
    <t xml:space="preserve">Arup recommends a phased divestment from fossil fuels to replace the 19,675 MBH heating plant, starting with envelope and ventilation upgrades to first reduce the plant size. Upgrades proposed in Task 2 result in a preliminary 15,000 MBH heating plant.
</t>
  </si>
  <si>
    <t>PP30</t>
  </si>
  <si>
    <t>PIPING REPAIRS &amp; EMCs</t>
  </si>
  <si>
    <t>"Deferred maintenance includes:
- (5) toilet exhaust fans of roughly 800CFM each not operating or missing belts. Carry cost to replace. See note on separately costed toilet exhaust upgrade in item M8.
- Loose and missing insulation on pipes observed on approximately 3,000 SF of mechanical spaces (archives room and in tunnels), mainly affecting chilled water piping.
"</t>
  </si>
  <si>
    <t xml:space="preserve">Should add cost to M1. This is not a discrete item- Arup wanted to note that condition of pipes should be noted as maintenance is done and the insides of piping can be observed. There was a past water quality issue that appears to have been fixed, and the ongoing water quality should be monitored.
</t>
  </si>
  <si>
    <t xml:space="preserve">Preheat exchanger HEX-2 is 615 MBH and top-off HEX-1 is 1300 MBH
</t>
  </si>
  <si>
    <t xml:space="preserve">"Missing/ damaged insulation  should be replaced with a vapor-sealed fiberglass insulation and service jacket: 
Domestic cold, hot, hot water return total 200':                                                                                                                                                                                                                                                                                                                             1. NPS 2” and smaller insulation shall be the following: 
a. Fiberglass, Preformed Pipe Insulation: 1 inch thick. 
2. NPS 2-1/2” and larger insulation shall be the following: 
a. Fiberglass Pipe Insulation: 1-1/2 inch thick. "
</t>
  </si>
  <si>
    <t>PP31</t>
  </si>
  <si>
    <t>EQUIPMENT SWING SPACE</t>
  </si>
  <si>
    <t xml:space="preserve">"Pneumatic compressor (plant room)
AHU  in Mech Rm 331
Toilet exhaust fans TEF-13,16 and EF in room 536
Steam coils in sub-basement
Compressor and the AHU are the most likely to be in the way - the MSH may determine that other equipment should remain abandoned in place."
</t>
  </si>
  <si>
    <t>QTY of unused meters</t>
  </si>
  <si>
    <t>Number of rooms might be helpful here, or we can likely just include a labor allowance</t>
  </si>
  <si>
    <t>PP32</t>
  </si>
  <si>
    <t>LANDSCAPE / SITE UTILITY MASTERPLAN</t>
  </si>
  <si>
    <t>Size unknown at this time. TBD in future study. Hold allowance for 12,000 SF bioretention plantings.</t>
  </si>
  <si>
    <t>Extents unknown at this time. TBD in future study. Hold allowance for 40,000 SF area of irrigation to be upgraded?</t>
  </si>
  <si>
    <t>Scope outline and proposed Qty of utility piping</t>
  </si>
  <si>
    <t>Scope outline</t>
  </si>
  <si>
    <t>TBD. Hold allowance for 1000 SF shed</t>
  </si>
  <si>
    <t>Number of locations</t>
  </si>
  <si>
    <t>PP33</t>
  </si>
  <si>
    <t>EXTERIOR LIGHTING UPGRADES</t>
  </si>
  <si>
    <t xml:space="preserve">Yes, please apply a $15/SF allowance for the exterior lights.
</t>
  </si>
  <si>
    <t>PP40</t>
  </si>
  <si>
    <t>HARDWARE: ACCESSIBILITY</t>
  </si>
  <si>
    <t>Include replacement of 100 noncompliant doorknobs with accessible hardware as identified by State House staff.
Include replacement of 12 nonfunctioning door operators.</t>
  </si>
  <si>
    <t>Two doors serving the same lift require new auto openers.
Lift controls at top and bottom (2 locations ) to be repositioned.</t>
  </si>
  <si>
    <t>PP41</t>
  </si>
  <si>
    <t>RESTROOMS: ACCESSIBILITY</t>
  </si>
  <si>
    <t xml:space="preserve">Allowance for a new 60 SF single-user accessible restroom. All new plumbing, finishes, fixtures, etc. </t>
  </si>
  <si>
    <t>PP42</t>
  </si>
  <si>
    <t>HOUSE CHAMBER: ACCESSIBILITY</t>
  </si>
  <si>
    <t xml:space="preserve">The required renovations for accessibility compliance are extensive.   Refer to Jan 2016 House Chamber report.  Additionally, include the following Universal Design features:
	- Provide evenly distributed wheelchair seating at all levels
	- Replace floor finishes to avoid trip hazards
	- Provide barrier-free access to the rostrum, including handrails along stairways
	- Comprehensive acoustic study
Refer to 2024 Task 2 Accessibility and UD Site Assessment
</t>
  </si>
  <si>
    <t>PP43</t>
  </si>
  <si>
    <t>GARDNER AUDITORIUM: ACCESSIBILITY</t>
  </si>
  <si>
    <t>The required renovations for accessibility compliance are extensive.  Refer to DCAMM Project Report BSB2301 which provides details. Additionally, include the following Universal Design features:
	- Barrier-free access to the rostrum
	- Evenly distributed wheelchair seats at all levels
	- Improved safety and comfort of seating 
	- Handrails along stepped aisles
	- Floor finishes replaced to prevent fall hazards
- Re-raking of floors where required
Refer to 2024 Task 2 Accessibility and UD Site Assessment</t>
  </si>
  <si>
    <t>PP44</t>
  </si>
  <si>
    <t>LIFT ACCESS: ACCESSIBILITY</t>
  </si>
  <si>
    <t>(3) Lifts. Account for 3' high each</t>
  </si>
  <si>
    <t>PP45</t>
  </si>
  <si>
    <t>WAYFINDING + PATHS: ACCESSIBILITY</t>
  </si>
  <si>
    <t xml:space="preserve">Allowance for general signage update. Full scope will be determined in future study.
An additional study is required in the future in order to quantify this.
</t>
  </si>
  <si>
    <t xml:space="preserve">Stairwell Study by IHCD dated March 13, 2018 to be rovided to Dharam for scope description.
</t>
  </si>
  <si>
    <t xml:space="preserve">Assume 6 LF of cane rail in each of 12 locations.  Indicate unit price for each location.
</t>
  </si>
  <si>
    <t>Assume two built-in planters, each 2'-6" long by 2'-0" wide.</t>
  </si>
  <si>
    <t>YEAR RANGE</t>
  </si>
  <si>
    <t>0-5 YEARS</t>
  </si>
  <si>
    <t>5-10 YEARS</t>
  </si>
  <si>
    <t>10-15 YEARS</t>
  </si>
  <si>
    <t>15-20 YEARS</t>
  </si>
  <si>
    <t>20-25 YEARS</t>
  </si>
  <si>
    <t>25+ YEARS</t>
  </si>
  <si>
    <t>FISCAL YEAR</t>
  </si>
  <si>
    <t>FY2025</t>
  </si>
  <si>
    <t>FY2026</t>
  </si>
  <si>
    <t>FY2027</t>
  </si>
  <si>
    <t>FY2028</t>
  </si>
  <si>
    <t>FY2029</t>
  </si>
  <si>
    <t>FY2030</t>
  </si>
  <si>
    <t>FY2031</t>
  </si>
  <si>
    <t>FY2032</t>
  </si>
  <si>
    <t>FY2033</t>
  </si>
  <si>
    <t>FY2034</t>
  </si>
  <si>
    <t>FY2035</t>
  </si>
  <si>
    <t>FY2036</t>
  </si>
  <si>
    <t>FY2037</t>
  </si>
  <si>
    <t>FY2038</t>
  </si>
  <si>
    <t>FY2039</t>
  </si>
  <si>
    <t>FY2040</t>
  </si>
  <si>
    <t>FY2041</t>
  </si>
  <si>
    <t>FY2042</t>
  </si>
  <si>
    <t>FY2043</t>
  </si>
  <si>
    <t>FY2044</t>
  </si>
  <si>
    <t>FY2045</t>
  </si>
  <si>
    <t>FY2046</t>
  </si>
  <si>
    <t>FY2047</t>
  </si>
  <si>
    <t>FY2048</t>
  </si>
  <si>
    <t>FY2049</t>
  </si>
  <si>
    <t>FY2050</t>
  </si>
  <si>
    <t>250th Anniversary</t>
  </si>
  <si>
    <t>QUARTERLY BREAKDOWN</t>
  </si>
  <si>
    <t>Q3</t>
  </si>
  <si>
    <t>Q4</t>
  </si>
  <si>
    <t>Q1</t>
  </si>
  <si>
    <t>Q2</t>
  </si>
  <si>
    <t>DISCRETE PROJECTS</t>
  </si>
  <si>
    <t>CHILLER PROJECT CONSTRUCTION</t>
  </si>
  <si>
    <t>DOME PROJECT</t>
  </si>
  <si>
    <t>PARKING GARAGE</t>
  </si>
  <si>
    <t>INTERIOR HISTORIC RESTORATION</t>
  </si>
  <si>
    <t>FIRE PUMP</t>
  </si>
  <si>
    <t>INTERIOR LIGHTING</t>
  </si>
  <si>
    <t>EMERGENCY GENERATOR</t>
  </si>
  <si>
    <t>EXTERIOR ENVELOPE</t>
  </si>
  <si>
    <t>COMPREHENSIVE ENVELOPE STUDY</t>
  </si>
  <si>
    <t>SOFT COSTS</t>
  </si>
  <si>
    <t>ROOF SD</t>
  </si>
  <si>
    <t>Annex ROOF D+C</t>
  </si>
  <si>
    <t>EAST WING ROOF D+C</t>
  </si>
  <si>
    <t>WEST  WING ROOF D+C</t>
  </si>
  <si>
    <t>INCLUDES:</t>
  </si>
  <si>
    <t>X SF ROOF REPLACEMENT</t>
  </si>
  <si>
    <t>## NEW SKYLIGHTS</t>
  </si>
  <si>
    <t>X SF INSULATION, UNDERSIDE OF ROOF</t>
  </si>
  <si>
    <t>EAST WING WALLS SD</t>
  </si>
  <si>
    <t>P12</t>
  </si>
  <si>
    <t>EAST WING D+C</t>
  </si>
  <si>
    <t>83 WOOD WINDOW REPLACEMENTS</t>
  </si>
  <si>
    <t>X SF MASONRY REPOINTING / RESTORATION</t>
  </si>
  <si>
    <t>EN5</t>
  </si>
  <si>
    <t>AIRSEALING EXTERIOR DOORS</t>
  </si>
  <si>
    <t>PAINTING HISTORIC TRIM</t>
  </si>
  <si>
    <t>&gt;&gt;COLUMN FOR PRE-REQUISITES / DEPENDENCIES. OR PART OF THE PROJECT BUNDLES</t>
  </si>
  <si>
    <t>STUDY ?? ASK DCAMM</t>
  </si>
  <si>
    <t>*ABILITY TO SELECT MULTIPLE</t>
  </si>
  <si>
    <r>
      <t xml:space="preserve">[LIST PRIMARY SYNERGIES]
</t>
    </r>
    <r>
      <rPr>
        <b/>
        <sz val="11"/>
        <color theme="4"/>
        <rFont val="Aptos Narrow"/>
        <family val="2"/>
        <scheme val="minor"/>
      </rPr>
      <t>SELECT ALL THAT APPLY!</t>
    </r>
  </si>
  <si>
    <r>
      <t xml:space="preserve">[INCLUDE NOTES FOR ANY RESPONSES DENOTED WITH </t>
    </r>
    <r>
      <rPr>
        <b/>
        <sz val="11"/>
        <color theme="4"/>
        <rFont val="Aptos Narrow"/>
        <family val="2"/>
        <scheme val="minor"/>
      </rPr>
      <t xml:space="preserve">* </t>
    </r>
    <r>
      <rPr>
        <sz val="11"/>
        <color theme="4"/>
        <rFont val="Aptos Narrow"/>
        <family val="2"/>
        <scheme val="minor"/>
      </rPr>
      <t>]</t>
    </r>
  </si>
  <si>
    <t>Gardner Auditorium accessibility upgrades as recommended by DCAMM Project Number BSB2301, dated 
August 23, 2024.</t>
  </si>
  <si>
    <t>FA ?</t>
  </si>
  <si>
    <t>Study for upgrading utility service to support electrification??</t>
  </si>
  <si>
    <t>Airseal &amp; Add insulation at Dome. Assume at ceiling level</t>
  </si>
  <si>
    <t>New insulation at Annex Roofs including low-slope and pitched roofs.</t>
  </si>
  <si>
    <t xml:space="preserve">Wing 5th Floor Cladding: Resecure several loose copper wall panels. </t>
  </si>
  <si>
    <t>Annex Modified Bitumen Roofs: replace in kind</t>
  </si>
  <si>
    <t>Annex Skylights: replace skylights in kind</t>
  </si>
  <si>
    <t xml:space="preserve">Roof and Wall Insulation: Assess options to provide insulation where none exists; consider with scheduled replacement of roofs or interior finishes. </t>
  </si>
  <si>
    <t>West Wing: Investigate leak into Room 62 below West Wing Plaza. Complete repairs.</t>
  </si>
  <si>
    <t>EN7</t>
  </si>
  <si>
    <t>EN8</t>
  </si>
  <si>
    <t>Water Infiltration. Room 62: DCR Break Room. Needs to be investigated. By West Wing Plaza.</t>
  </si>
  <si>
    <t>Current water leak occuring in Room 62. Added to the list from DCAMM / BSH discussion.</t>
  </si>
  <si>
    <t>EN9</t>
  </si>
  <si>
    <t>***</t>
  </si>
  <si>
    <t xml:space="preserve">Provide mechanical ventilation to areas of the building that rely on natrual ventilation or are currently unventilated. </t>
  </si>
  <si>
    <r>
      <rPr>
        <b/>
        <sz val="16"/>
        <color rgb="FFFF0000"/>
        <rFont val="Aptos Narrow"/>
        <family val="2"/>
        <scheme val="minor"/>
      </rPr>
      <t>*</t>
    </r>
    <r>
      <rPr>
        <b/>
        <sz val="10"/>
        <color rgb="FFFF0000"/>
        <rFont val="Aptos Narrow"/>
        <family val="2"/>
        <scheme val="minor"/>
      </rPr>
      <t xml:space="preserve"> </t>
    </r>
    <r>
      <rPr>
        <sz val="9"/>
        <color rgb="FFFF0000"/>
        <rFont val="Aptos Narrow"/>
        <family val="2"/>
        <scheme val="minor"/>
      </rPr>
      <t>INDICATES "SEE NOTES". ADD CLARIFYING INFO FOR ITEM IN THE NOTES SECTION</t>
    </r>
  </si>
  <si>
    <t>STUDY</t>
  </si>
  <si>
    <t>Wood Windows: Repair or replace per security and thermal performance desires. If repairing, considering interior storms for improved thermal performance.</t>
  </si>
  <si>
    <t>Windows deteriorated and need to be addressed. Most are not original material. Appropriate approach depends upon DCAMM/BSH's other goals. At a minimum, deterioration, operability, and air leakage should be addressed in refurbishment. Security and additional thermal improvements possible with replacement or addition of storms.</t>
  </si>
  <si>
    <t>Building Code / Life Safety Improvement</t>
  </si>
  <si>
    <t xml:space="preserve">Item covers several "simple" (currently accessibly systems) maintenance/upgrade tasks that will improve existing systems. </t>
  </si>
  <si>
    <t>Exterior Lighting. To include comprehensive/coordinated design approach to existing pole lighting (16 of 24 to be recreated), landscape lighting, and building lighting.</t>
  </si>
  <si>
    <t>Garage. Make necessary repairs to be identified via study.</t>
  </si>
  <si>
    <t>ARCH</t>
  </si>
  <si>
    <t>Leverage the existing documentation maintained by DCAMM (see following section) to develop a library of this information that can be used by BSH and DCAMM staff for reference and maintenance purposes.</t>
  </si>
  <si>
    <t>Reference other Gardner Auditorium items??</t>
  </si>
  <si>
    <t>Exterior Wood Windows. Refurbish, weatherstrip, air seal, and paint windows</t>
  </si>
  <si>
    <t>Foundation wall below Hooker Ent. Address water infiltration and make necessary repairs to concrete and rebar.</t>
  </si>
  <si>
    <t xml:space="preserve">Marble column cracking at west annex porticos. Repair and possible investigation required. </t>
  </si>
  <si>
    <t>Masonry deterioration at Mt. Vernon tunnel. Address water infiltration before pointing and replacing masonry.</t>
  </si>
  <si>
    <t>Minor steel corrosion at Mt. Vernon Passageway. Clean and recoat regularly.</t>
  </si>
  <si>
    <t>HISTORIC PRES.</t>
  </si>
  <si>
    <t>Exterior Masonry. Clean and repoint.</t>
  </si>
  <si>
    <t>HAZMAT</t>
  </si>
  <si>
    <t>[AREA IN PLAN]</t>
  </si>
  <si>
    <t>[AREA IN SECTION]</t>
  </si>
  <si>
    <t>[IMPACT BY IMPLEMENTATION]</t>
  </si>
  <si>
    <t>[POST IMPLEMENTATION]</t>
  </si>
  <si>
    <t>[CARBON REDUCTION]</t>
  </si>
  <si>
    <t>[CONTRIBUTING TO]</t>
  </si>
  <si>
    <t>CATEGORY</t>
  </si>
  <si>
    <t xml:space="preserve">Relative Operational  Cost </t>
  </si>
  <si>
    <t>Resiliency / Sustainability</t>
  </si>
  <si>
    <r>
      <t>5_250</t>
    </r>
    <r>
      <rPr>
        <vertAlign val="superscript"/>
        <sz val="11"/>
        <rFont val="Aptos Narrow"/>
        <family val="2"/>
        <scheme val="minor"/>
      </rPr>
      <t>th</t>
    </r>
    <r>
      <rPr>
        <sz val="11"/>
        <rFont val="Aptos Narrow"/>
        <family val="2"/>
        <scheme val="minor"/>
      </rPr>
      <t xml:space="preserve"> ANNIVERSARY</t>
    </r>
  </si>
  <si>
    <t>…write in…</t>
  </si>
  <si>
    <t>TRADES: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</si>
</sst>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Aptos Narrow"/>
      <family val="2"/>
      <scheme val="minor"/>
    </font>
    <font>
      <b/>
      <sz val="11"/>
      <color theme="0"/>
      <name val="Aptos Narrow"/>
      <family val="2"/>
      <scheme val="minor"/>
    </font>
    <font>
      <b/>
      <sz val="11"/>
      <color theme="1"/>
      <name val="Aptos Narrow"/>
      <family val="2"/>
      <scheme val="minor"/>
    </font>
    <font>
      <b/>
      <sz val="14"/>
      <color theme="1"/>
      <name val="Aptos Narrow"/>
      <family val="2"/>
      <scheme val="minor"/>
    </font>
    <font>
      <b/>
      <sz val="13"/>
      <color theme="0"/>
      <name val="Aptos Narrow"/>
      <family val="2"/>
      <scheme val="minor"/>
    </font>
    <font>
      <sz val="11"/>
      <color rgb="FF000000"/>
      <name val="Aptos Narrow"/>
      <family val="2"/>
    </font>
    <font>
      <sz val="8"/>
      <name val="Aptos Narrow"/>
      <family val="2"/>
      <scheme val="minor"/>
    </font>
    <font>
      <sz val="11"/>
      <name val="Aptos Narrow"/>
      <family val="2"/>
      <scheme val="minor"/>
    </font>
    <font>
      <b/>
      <u/>
      <sz val="11"/>
      <color theme="1"/>
      <name val="Aptos Narrow"/>
      <family val="2"/>
      <scheme val="minor"/>
    </font>
    <font>
      <b/>
      <sz val="10"/>
      <color theme="5" tint="0.39997558519241921"/>
      <name val="Aptos Narrow"/>
      <family val="2"/>
      <scheme val="minor"/>
    </font>
    <font>
      <sz val="10"/>
      <color theme="1"/>
      <name val="Aptos Narrow"/>
      <family val="2"/>
      <scheme val="minor"/>
    </font>
    <font>
      <vertAlign val="superscript"/>
      <sz val="11"/>
      <name val="Aptos Narrow"/>
      <family val="2"/>
      <scheme val="minor"/>
    </font>
    <font>
      <sz val="10"/>
      <name val="Aptos Narrow"/>
      <family val="2"/>
      <scheme val="minor"/>
    </font>
    <font>
      <b/>
      <sz val="10"/>
      <color theme="1"/>
      <name val="Aptos Narrow"/>
      <family val="2"/>
      <scheme val="minor"/>
    </font>
    <font>
      <b/>
      <sz val="16"/>
      <color theme="1"/>
      <name val="Aptos Narrow"/>
      <family val="2"/>
      <scheme val="minor"/>
    </font>
    <font>
      <b/>
      <sz val="12"/>
      <color theme="1"/>
      <name val="Aptos Narrow"/>
      <family val="2"/>
      <scheme val="minor"/>
    </font>
    <font>
      <sz val="11"/>
      <color theme="4"/>
      <name val="Aptos Narrow"/>
      <family val="2"/>
      <scheme val="minor"/>
    </font>
    <font>
      <b/>
      <sz val="11"/>
      <color theme="4"/>
      <name val="Aptos Narrow"/>
      <family val="2"/>
      <scheme val="minor"/>
    </font>
    <font>
      <sz val="10"/>
      <color rgb="FFFF0000"/>
      <name val="Aptos Narrow"/>
      <family val="2"/>
      <scheme val="minor"/>
    </font>
    <font>
      <b/>
      <sz val="10"/>
      <color rgb="FFFF0000"/>
      <name val="Aptos Narrow"/>
      <family val="2"/>
      <scheme val="minor"/>
    </font>
    <font>
      <b/>
      <sz val="16"/>
      <color rgb="FFFF0000"/>
      <name val="Aptos Narrow"/>
      <family val="2"/>
      <scheme val="minor"/>
    </font>
    <font>
      <b/>
      <sz val="14"/>
      <color theme="0"/>
      <name val="Aptos Narrow"/>
      <family val="2"/>
      <scheme val="minor"/>
    </font>
    <font>
      <sz val="12"/>
      <color theme="1"/>
      <name val="Aptos Narrow"/>
      <family val="2"/>
      <scheme val="minor"/>
    </font>
    <font>
      <b/>
      <sz val="18"/>
      <color theme="1"/>
      <name val="Aptos Narrow"/>
      <family val="2"/>
      <scheme val="minor"/>
    </font>
    <font>
      <i/>
      <sz val="12"/>
      <color theme="1"/>
      <name val="Aptos Narrow"/>
      <family val="2"/>
      <scheme val="minor"/>
    </font>
    <font>
      <sz val="9"/>
      <color rgb="FFFF0000"/>
      <name val="Aptos Narrow"/>
      <family val="2"/>
      <scheme val="minor"/>
    </font>
    <font>
      <sz val="11"/>
      <color theme="0" tint="-0.14999847407452621"/>
      <name val="Aptos Narrow"/>
      <family val="2"/>
      <scheme val="minor"/>
    </font>
    <font>
      <b/>
      <sz val="14"/>
      <color theme="0" tint="-0.14999847407452621"/>
      <name val="Aptos Narrow"/>
      <family val="2"/>
      <scheme val="minor"/>
    </font>
    <font>
      <sz val="8"/>
      <color theme="0" tint="-0.14999847407452621"/>
      <name val="Aptos Narrow"/>
      <family val="2"/>
      <scheme val="minor"/>
    </font>
    <font>
      <sz val="11"/>
      <color rgb="FFFF0000"/>
      <name val="Aptos Narrow"/>
      <family val="2"/>
      <scheme val="minor"/>
    </font>
    <font>
      <b/>
      <sz val="8"/>
      <color theme="0" tint="-0.14999847407452621"/>
      <name val="Aptos Narrow"/>
      <family val="2"/>
      <scheme val="minor"/>
    </font>
    <font>
      <sz val="9"/>
      <color theme="0" tint="-0.14999847407452621"/>
      <name val="Aptos Narrow"/>
      <family val="2"/>
      <scheme val="minor"/>
    </font>
    <font>
      <sz val="9"/>
      <color theme="4"/>
      <name val="Aptos Narrow"/>
      <family val="2"/>
      <scheme val="minor"/>
    </font>
    <font>
      <b/>
      <sz val="9"/>
      <color theme="4"/>
      <name val="Aptos Narrow"/>
      <family val="2"/>
      <scheme val="minor"/>
    </font>
    <font>
      <sz val="11"/>
      <color theme="0"/>
      <name val="Aptos Narrow"/>
      <family val="2"/>
      <scheme val="minor"/>
    </font>
    <font>
      <sz val="9"/>
      <color theme="2" tint="-0.249977111117893"/>
      <name val="Aptos Narrow"/>
      <family val="2"/>
      <scheme val="minor"/>
    </font>
    <font>
      <u/>
      <sz val="11"/>
      <color theme="10"/>
      <name val="Aptos Narrow"/>
      <family val="2"/>
      <scheme val="minor"/>
    </font>
    <font>
      <sz val="10"/>
      <color rgb="FFEE0000"/>
      <name val="Aptos Narrow"/>
      <family val="2"/>
      <scheme val="minor"/>
    </font>
    <font>
      <b/>
      <sz val="16"/>
      <color rgb="FFEE0000"/>
      <name val="Aptos Narrow"/>
      <family val="2"/>
      <scheme val="minor"/>
    </font>
    <font>
      <b/>
      <sz val="10"/>
      <color rgb="FFEE0000"/>
      <name val="Aptos Narrow"/>
      <family val="2"/>
      <scheme val="minor"/>
    </font>
    <font>
      <sz val="9"/>
      <color rgb="FFEE0000"/>
      <name val="Aptos Narrow"/>
      <family val="2"/>
      <scheme val="minor"/>
    </font>
  </fonts>
  <fills count="33">
    <fill>
      <patternFill patternType="none"/>
    </fill>
    <fill>
      <patternFill patternType="gray125"/>
    </fill>
    <fill>
      <patternFill patternType="solid">
        <fgColor theme="0" tint="-4.9989318521683403E-2"/>
        <bgColor indexed="64"/>
      </patternFill>
    </fill>
    <fill>
      <patternFill patternType="solid">
        <fgColor theme="1" tint="0.14999847407452621"/>
        <bgColor indexed="64"/>
      </patternFill>
    </fill>
    <fill>
      <patternFill patternType="solid">
        <fgColor theme="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4"/>
        <bgColor indexed="64"/>
      </patternFill>
    </fill>
    <fill>
      <patternFill patternType="solid">
        <fgColor theme="0" tint="-0.49998474074526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40D5E0"/>
        <bgColor indexed="64"/>
      </patternFill>
    </fill>
    <fill>
      <patternFill patternType="solid">
        <fgColor rgb="FFFF860D"/>
        <bgColor indexed="64"/>
      </patternFill>
    </fill>
    <fill>
      <patternFill patternType="solid">
        <fgColor theme="6"/>
        <bgColor indexed="64"/>
      </patternFill>
    </fill>
    <fill>
      <patternFill patternType="solid">
        <fgColor rgb="FFC00000"/>
        <bgColor indexed="64"/>
      </patternFill>
    </fill>
    <fill>
      <patternFill patternType="solid">
        <fgColor theme="9" tint="0.59999389629810485"/>
        <bgColor indexed="64"/>
      </patternFill>
    </fill>
    <fill>
      <patternFill patternType="solid">
        <fgColor rgb="FF996633"/>
        <bgColor indexed="64"/>
      </patternFill>
    </fill>
    <fill>
      <patternFill patternType="solid">
        <fgColor rgb="FFFF33CC"/>
        <bgColor indexed="64"/>
      </patternFill>
    </fill>
    <fill>
      <patternFill patternType="solid">
        <fgColor rgb="FFFF9D3B"/>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C6F2F1"/>
        <bgColor indexed="64"/>
      </patternFill>
    </fill>
    <fill>
      <patternFill patternType="solid">
        <fgColor rgb="FF7FD7E3"/>
        <bgColor indexed="64"/>
      </patternFill>
    </fill>
    <fill>
      <patternFill patternType="solid">
        <fgColor rgb="FFFFFFCC"/>
        <bgColor indexed="64"/>
      </patternFill>
    </fill>
    <fill>
      <patternFill patternType="solid">
        <fgColor rgb="FF1FA7C7"/>
        <bgColor indexed="64"/>
      </patternFill>
    </fill>
    <fill>
      <patternFill patternType="solid">
        <fgColor rgb="FFCCFF99"/>
        <bgColor indexed="64"/>
      </patternFill>
    </fill>
  </fills>
  <borders count="11">
    <border>
      <left/>
      <right/>
      <top/>
      <bottom/>
      <diagonal/>
    </border>
    <border>
      <left/>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theme="5" tint="0.39997558519241921"/>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0" fontId="36" fillId="0" borderId="0" applyNumberFormat="0" applyFill="0" applyBorder="0" applyAlignment="0" applyProtection="0"/>
  </cellStyleXfs>
  <cellXfs count="156">
    <xf numFmtId="0" fontId="0" fillId="0" borderId="0" xfId="0"/>
    <xf numFmtId="0" fontId="2" fillId="0" borderId="0" xfId="0" applyFont="1"/>
    <xf numFmtId="0" fontId="0" fillId="0" borderId="0" xfId="0" applyAlignment="1">
      <alignment wrapText="1"/>
    </xf>
    <xf numFmtId="0" fontId="0" fillId="0" borderId="0" xfId="0" applyAlignment="1">
      <alignment horizontal="center"/>
    </xf>
    <xf numFmtId="0" fontId="0" fillId="0" borderId="0" xfId="0" applyAlignment="1">
      <alignment vertical="top" wrapText="1"/>
    </xf>
    <xf numFmtId="0" fontId="1" fillId="3" borderId="0" xfId="0" applyFont="1" applyFill="1"/>
    <xf numFmtId="0" fontId="4" fillId="3" borderId="0" xfId="0" applyFont="1" applyFill="1"/>
    <xf numFmtId="0" fontId="0" fillId="0" borderId="2" xfId="0" applyBorder="1" applyAlignment="1">
      <alignment vertical="top" wrapText="1"/>
    </xf>
    <xf numFmtId="0" fontId="0" fillId="0" borderId="2" xfId="0" applyBorder="1" applyAlignment="1">
      <alignment wrapText="1"/>
    </xf>
    <xf numFmtId="0" fontId="5" fillId="0" borderId="0" xfId="0" applyFont="1" applyAlignment="1">
      <alignment vertical="top" wrapText="1"/>
    </xf>
    <xf numFmtId="0" fontId="2" fillId="0" borderId="0" xfId="0" applyFont="1" applyAlignment="1">
      <alignment vertical="top"/>
    </xf>
    <xf numFmtId="0" fontId="0" fillId="0" borderId="1" xfId="0" applyBorder="1"/>
    <xf numFmtId="0" fontId="2" fillId="0" borderId="0" xfId="0" applyFont="1" applyAlignment="1">
      <alignment horizontal="center"/>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7" fillId="0" borderId="2" xfId="0" applyFont="1" applyBorder="1" applyAlignment="1">
      <alignment horizontal="center"/>
    </xf>
    <xf numFmtId="0" fontId="7" fillId="0" borderId="0" xfId="0" applyFont="1" applyAlignment="1">
      <alignment horizontal="center"/>
    </xf>
    <xf numFmtId="0" fontId="0" fillId="0" borderId="6" xfId="0" applyBorder="1"/>
    <xf numFmtId="0" fontId="9" fillId="0" borderId="0" xfId="0" applyFont="1" applyAlignment="1">
      <alignment horizontal="center" wrapText="1"/>
    </xf>
    <xf numFmtId="0" fontId="10" fillId="0" borderId="0" xfId="0" applyFont="1" applyAlignment="1">
      <alignment horizontal="center"/>
    </xf>
    <xf numFmtId="0" fontId="9" fillId="0" borderId="0" xfId="0" applyFont="1" applyAlignment="1">
      <alignment horizontal="center"/>
    </xf>
    <xf numFmtId="0" fontId="7"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6" fillId="0" borderId="0" xfId="0" applyFont="1" applyAlignment="1">
      <alignment vertical="center"/>
    </xf>
    <xf numFmtId="0" fontId="16" fillId="0" borderId="1" xfId="0" applyFont="1" applyBorder="1" applyAlignment="1">
      <alignment vertical="center"/>
    </xf>
    <xf numFmtId="0" fontId="16" fillId="0" borderId="1" xfId="0" applyFont="1" applyBorder="1" applyAlignment="1">
      <alignment horizontal="center" vertical="center"/>
    </xf>
    <xf numFmtId="0" fontId="16" fillId="0" borderId="0" xfId="0" applyFont="1" applyAlignment="1">
      <alignment horizontal="center" vertical="center"/>
    </xf>
    <xf numFmtId="0" fontId="16" fillId="0" borderId="0" xfId="0" applyFont="1" applyAlignment="1">
      <alignment horizontal="center" vertical="center" wrapText="1"/>
    </xf>
    <xf numFmtId="0" fontId="16" fillId="0" borderId="1" xfId="0" applyFont="1" applyBorder="1" applyAlignment="1">
      <alignment horizontal="center" vertical="center" wrapText="1"/>
    </xf>
    <xf numFmtId="0" fontId="18" fillId="0" borderId="0" xfId="0" applyFont="1"/>
    <xf numFmtId="0" fontId="21" fillId="4" borderId="0" xfId="0" applyFont="1" applyFill="1" applyAlignment="1">
      <alignment vertical="center"/>
    </xf>
    <xf numFmtId="0" fontId="22" fillId="0" borderId="0" xfId="0" applyFont="1"/>
    <xf numFmtId="0" fontId="23" fillId="0" borderId="0" xfId="0" applyFont="1"/>
    <xf numFmtId="0" fontId="22" fillId="0" borderId="0" xfId="0" applyFont="1" applyAlignment="1">
      <alignment horizontal="left" indent="1"/>
    </xf>
    <xf numFmtId="0" fontId="3" fillId="0" borderId="0" xfId="0" applyFont="1"/>
    <xf numFmtId="0" fontId="1" fillId="3" borderId="0" xfId="0" applyFont="1" applyFill="1" applyAlignment="1">
      <alignment vertical="top"/>
    </xf>
    <xf numFmtId="0" fontId="0" fillId="0" borderId="0" xfId="0" applyAlignment="1">
      <alignment vertical="top"/>
    </xf>
    <xf numFmtId="0" fontId="1" fillId="3" borderId="0" xfId="0" applyFont="1" applyFill="1" applyAlignment="1">
      <alignment wrapText="1"/>
    </xf>
    <xf numFmtId="0" fontId="26" fillId="0" borderId="0" xfId="0" applyFont="1"/>
    <xf numFmtId="0" fontId="26" fillId="0" borderId="0" xfId="0" applyFont="1" applyAlignment="1">
      <alignment vertical="center"/>
    </xf>
    <xf numFmtId="0" fontId="27" fillId="0" borderId="0" xfId="0" applyFont="1" applyAlignment="1">
      <alignment vertical="center" textRotation="45"/>
    </xf>
    <xf numFmtId="0" fontId="27" fillId="0" borderId="0" xfId="0" applyFont="1" applyAlignment="1">
      <alignment horizontal="center" vertical="center" textRotation="45"/>
    </xf>
    <xf numFmtId="0" fontId="28" fillId="0" borderId="0" xfId="0" applyFont="1"/>
    <xf numFmtId="0" fontId="16" fillId="0" borderId="1" xfId="0" applyFont="1" applyBorder="1" applyAlignment="1">
      <alignment wrapText="1"/>
    </xf>
    <xf numFmtId="0" fontId="2" fillId="0" borderId="0" xfId="0" applyFont="1" applyAlignment="1">
      <alignment horizontal="left" vertical="top"/>
    </xf>
    <xf numFmtId="0" fontId="0" fillId="0" borderId="0" xfId="0" applyAlignment="1">
      <alignment horizontal="left" vertical="top" wrapText="1"/>
    </xf>
    <xf numFmtId="0" fontId="26" fillId="0" borderId="0" xfId="0" applyFont="1" applyAlignment="1">
      <alignment vertical="top"/>
    </xf>
    <xf numFmtId="0" fontId="16" fillId="0" borderId="0" xfId="0" applyFont="1" applyAlignment="1">
      <alignment horizontal="center"/>
    </xf>
    <xf numFmtId="0" fontId="2" fillId="0" borderId="0" xfId="0" applyFont="1" applyAlignment="1">
      <alignment vertical="top" wrapText="1"/>
    </xf>
    <xf numFmtId="0" fontId="0" fillId="5" borderId="0" xfId="0" applyFill="1" applyAlignment="1">
      <alignment wrapText="1"/>
    </xf>
    <xf numFmtId="0" fontId="2" fillId="6" borderId="0" xfId="0" applyFont="1" applyFill="1" applyAlignment="1">
      <alignment vertical="top"/>
    </xf>
    <xf numFmtId="0" fontId="2" fillId="7" borderId="0" xfId="0" applyFont="1" applyFill="1" applyAlignment="1">
      <alignment vertical="top"/>
    </xf>
    <xf numFmtId="0" fontId="2" fillId="8" borderId="0" xfId="0" applyFont="1" applyFill="1" applyAlignment="1">
      <alignment vertical="top"/>
    </xf>
    <xf numFmtId="0" fontId="2" fillId="9" borderId="0" xfId="0" applyFont="1" applyFill="1" applyAlignment="1">
      <alignment vertical="top"/>
    </xf>
    <xf numFmtId="0" fontId="2" fillId="10" borderId="0" xfId="0" applyFont="1" applyFill="1" applyAlignment="1">
      <alignment vertical="top"/>
    </xf>
    <xf numFmtId="0" fontId="2" fillId="2" borderId="0" xfId="0" applyFont="1" applyFill="1" applyAlignment="1">
      <alignment vertical="top"/>
    </xf>
    <xf numFmtId="0" fontId="2" fillId="11" borderId="0" xfId="0" applyFont="1" applyFill="1" applyAlignment="1">
      <alignment vertical="top" wrapText="1"/>
    </xf>
    <xf numFmtId="0" fontId="2" fillId="12" borderId="0" xfId="0" applyFont="1" applyFill="1" applyAlignment="1">
      <alignment vertical="top" wrapText="1"/>
    </xf>
    <xf numFmtId="0" fontId="2" fillId="13" borderId="0" xfId="0" applyFont="1" applyFill="1" applyAlignment="1">
      <alignment vertical="top"/>
    </xf>
    <xf numFmtId="0" fontId="2" fillId="14" borderId="0" xfId="0" applyFont="1" applyFill="1" applyAlignment="1">
      <alignment vertical="top"/>
    </xf>
    <xf numFmtId="0" fontId="2" fillId="15" borderId="0" xfId="0" applyFont="1" applyFill="1" applyAlignment="1">
      <alignment vertical="top"/>
    </xf>
    <xf numFmtId="0" fontId="2" fillId="16" borderId="0" xfId="0" applyFont="1" applyFill="1" applyAlignment="1">
      <alignment vertical="top"/>
    </xf>
    <xf numFmtId="0" fontId="2" fillId="17" borderId="0" xfId="0" applyFont="1" applyFill="1" applyAlignment="1">
      <alignment vertical="top"/>
    </xf>
    <xf numFmtId="0" fontId="19" fillId="0" borderId="0" xfId="0" applyFont="1"/>
    <xf numFmtId="0" fontId="29" fillId="0" borderId="0" xfId="0" applyFont="1"/>
    <xf numFmtId="0" fontId="29" fillId="0" borderId="0" xfId="0" applyFont="1" applyAlignment="1">
      <alignment horizontal="center"/>
    </xf>
    <xf numFmtId="0" fontId="27" fillId="14" borderId="0" xfId="0" applyFont="1" applyFill="1" applyAlignment="1">
      <alignment vertical="center" textRotation="45"/>
    </xf>
    <xf numFmtId="0" fontId="28" fillId="14" borderId="0" xfId="0" applyFont="1" applyFill="1"/>
    <xf numFmtId="0" fontId="26" fillId="15" borderId="0" xfId="0" applyFont="1" applyFill="1"/>
    <xf numFmtId="0" fontId="28" fillId="9" borderId="0" xfId="0" applyFont="1" applyFill="1"/>
    <xf numFmtId="0" fontId="26" fillId="9" borderId="0" xfId="0" applyFont="1" applyFill="1"/>
    <xf numFmtId="0" fontId="28" fillId="16" borderId="0" xfId="0" applyFont="1" applyFill="1"/>
    <xf numFmtId="0" fontId="26" fillId="16" borderId="0" xfId="0" applyFont="1" applyFill="1"/>
    <xf numFmtId="0" fontId="26" fillId="2" borderId="0" xfId="0" applyFont="1" applyFill="1"/>
    <xf numFmtId="0" fontId="28" fillId="2" borderId="0" xfId="0" applyFont="1" applyFill="1"/>
    <xf numFmtId="0" fontId="28" fillId="18" borderId="0" xfId="0" applyFont="1" applyFill="1"/>
    <xf numFmtId="0" fontId="26" fillId="18" borderId="0" xfId="0" applyFont="1" applyFill="1"/>
    <xf numFmtId="0" fontId="28" fillId="19" borderId="0" xfId="0" applyFont="1" applyFill="1"/>
    <xf numFmtId="0" fontId="26" fillId="19" borderId="0" xfId="0" applyFont="1" applyFill="1" applyAlignment="1">
      <alignment vertical="top"/>
    </xf>
    <xf numFmtId="0" fontId="28" fillId="20" borderId="0" xfId="0" applyFont="1" applyFill="1"/>
    <xf numFmtId="0" fontId="26" fillId="20" borderId="0" xfId="0" applyFont="1" applyFill="1" applyAlignment="1">
      <alignment vertical="top"/>
    </xf>
    <xf numFmtId="0" fontId="26" fillId="10" borderId="0" xfId="0" applyFont="1" applyFill="1"/>
    <xf numFmtId="0" fontId="28" fillId="10" borderId="0" xfId="0" applyFont="1" applyFill="1"/>
    <xf numFmtId="0" fontId="28" fillId="12" borderId="0" xfId="0" applyFont="1" applyFill="1"/>
    <xf numFmtId="0" fontId="26" fillId="12" borderId="0" xfId="0" applyFont="1" applyFill="1" applyAlignment="1">
      <alignment vertical="top"/>
    </xf>
    <xf numFmtId="0" fontId="28" fillId="13" borderId="0" xfId="0" applyFont="1" applyFill="1"/>
    <xf numFmtId="0" fontId="26" fillId="13" borderId="0" xfId="0" applyFont="1" applyFill="1" applyAlignment="1">
      <alignment vertical="top"/>
    </xf>
    <xf numFmtId="0" fontId="28" fillId="21" borderId="0" xfId="0" applyFont="1" applyFill="1"/>
    <xf numFmtId="0" fontId="26" fillId="21" borderId="0" xfId="0" applyFont="1" applyFill="1" applyAlignment="1">
      <alignment vertical="top"/>
    </xf>
    <xf numFmtId="0" fontId="28" fillId="22" borderId="0" xfId="0" applyFont="1" applyFill="1"/>
    <xf numFmtId="0" fontId="26" fillId="22" borderId="0" xfId="0" applyFont="1" applyFill="1" applyAlignment="1">
      <alignment vertical="top"/>
    </xf>
    <xf numFmtId="0" fontId="28" fillId="23" borderId="0" xfId="0" applyFont="1" applyFill="1"/>
    <xf numFmtId="0" fontId="26" fillId="23" borderId="0" xfId="0" applyFont="1" applyFill="1" applyAlignment="1">
      <alignment vertical="top"/>
    </xf>
    <xf numFmtId="0" fontId="28" fillId="9" borderId="0" xfId="0" applyFont="1" applyFill="1" applyAlignment="1">
      <alignment vertical="top"/>
    </xf>
    <xf numFmtId="0" fontId="28" fillId="16" borderId="0" xfId="0" applyFont="1" applyFill="1" applyAlignment="1">
      <alignment vertical="top"/>
    </xf>
    <xf numFmtId="0" fontId="28" fillId="2" borderId="0" xfId="0" applyFont="1" applyFill="1" applyAlignment="1">
      <alignment vertical="top"/>
    </xf>
    <xf numFmtId="0" fontId="28" fillId="18" borderId="0" xfId="0" applyFont="1" applyFill="1" applyAlignment="1">
      <alignment vertical="top"/>
    </xf>
    <xf numFmtId="0" fontId="28" fillId="20" borderId="0" xfId="0" applyFont="1" applyFill="1" applyAlignment="1">
      <alignment vertical="top"/>
    </xf>
    <xf numFmtId="0" fontId="28" fillId="10" borderId="0" xfId="0" applyFont="1" applyFill="1" applyAlignment="1">
      <alignment vertical="top"/>
    </xf>
    <xf numFmtId="0" fontId="28" fillId="12" borderId="0" xfId="0" applyFont="1" applyFill="1" applyAlignment="1">
      <alignment vertical="top"/>
    </xf>
    <xf numFmtId="0" fontId="28" fillId="13" borderId="0" xfId="0" applyFont="1" applyFill="1" applyAlignment="1">
      <alignment vertical="top"/>
    </xf>
    <xf numFmtId="0" fontId="28" fillId="22" borderId="0" xfId="0" applyFont="1" applyFill="1" applyAlignment="1">
      <alignment vertical="top"/>
    </xf>
    <xf numFmtId="0" fontId="28" fillId="23" borderId="0" xfId="0" applyFont="1" applyFill="1" applyAlignment="1">
      <alignment vertical="top"/>
    </xf>
    <xf numFmtId="0" fontId="30" fillId="14" borderId="0" xfId="0" applyFont="1" applyFill="1" applyAlignment="1">
      <alignment vertical="top"/>
    </xf>
    <xf numFmtId="0" fontId="28" fillId="10" borderId="0" xfId="0" applyFont="1" applyFill="1" applyAlignment="1">
      <alignment vertical="top" wrapText="1"/>
    </xf>
    <xf numFmtId="0" fontId="0" fillId="5" borderId="0" xfId="0" applyFill="1"/>
    <xf numFmtId="0" fontId="28" fillId="15" borderId="0" xfId="0" applyFont="1" applyFill="1" applyAlignment="1">
      <alignment vertical="top"/>
    </xf>
    <xf numFmtId="0" fontId="28" fillId="24" borderId="0" xfId="0" applyFont="1" applyFill="1" applyAlignment="1">
      <alignment vertical="top"/>
    </xf>
    <xf numFmtId="0" fontId="28" fillId="25" borderId="0" xfId="0" applyFont="1" applyFill="1" applyAlignment="1">
      <alignment vertical="top"/>
    </xf>
    <xf numFmtId="0" fontId="31" fillId="0" borderId="0" xfId="0" applyFont="1" applyAlignment="1">
      <alignment vertical="center"/>
    </xf>
    <xf numFmtId="0" fontId="32" fillId="0" borderId="1" xfId="0" applyFont="1" applyBorder="1" applyAlignment="1">
      <alignment vertical="center"/>
    </xf>
    <xf numFmtId="0" fontId="32" fillId="0" borderId="1" xfId="0" applyFont="1" applyBorder="1" applyAlignment="1">
      <alignment wrapText="1"/>
    </xf>
    <xf numFmtId="0" fontId="32" fillId="0" borderId="1" xfId="0" applyFont="1" applyBorder="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1" xfId="0" applyFont="1" applyBorder="1" applyAlignment="1">
      <alignment horizontal="center" vertical="center" wrapText="1"/>
    </xf>
    <xf numFmtId="0" fontId="32" fillId="0" borderId="0" xfId="0" applyFont="1" applyAlignment="1">
      <alignment vertical="center"/>
    </xf>
    <xf numFmtId="0" fontId="32" fillId="0" borderId="0" xfId="0" applyFont="1" applyAlignment="1">
      <alignment horizontal="center"/>
    </xf>
    <xf numFmtId="0" fontId="0" fillId="2" borderId="0" xfId="0" applyFill="1"/>
    <xf numFmtId="0" fontId="0" fillId="26" borderId="0" xfId="0" applyFill="1"/>
    <xf numFmtId="0" fontId="0" fillId="3" borderId="0" xfId="0" applyFill="1"/>
    <xf numFmtId="0" fontId="2" fillId="2" borderId="0" xfId="0" applyFont="1" applyFill="1"/>
    <xf numFmtId="0" fontId="0" fillId="0" borderId="7" xfId="0" applyBorder="1"/>
    <xf numFmtId="0" fontId="34" fillId="3" borderId="0" xfId="0" applyFont="1" applyFill="1"/>
    <xf numFmtId="0" fontId="34" fillId="27" borderId="0" xfId="0" applyFont="1" applyFill="1"/>
    <xf numFmtId="0" fontId="0" fillId="28" borderId="0" xfId="0" applyFill="1"/>
    <xf numFmtId="0" fontId="0" fillId="29" borderId="0" xfId="0" applyFill="1"/>
    <xf numFmtId="0" fontId="0" fillId="31" borderId="0" xfId="0" applyFill="1"/>
    <xf numFmtId="0" fontId="35" fillId="0" borderId="0" xfId="0" applyFont="1" applyAlignment="1">
      <alignment horizontal="center"/>
    </xf>
    <xf numFmtId="0" fontId="2" fillId="0" borderId="1" xfId="0" applyFont="1" applyBorder="1"/>
    <xf numFmtId="0" fontId="36" fillId="0" borderId="0" xfId="1"/>
    <xf numFmtId="0" fontId="0" fillId="30" borderId="0" xfId="0" applyFill="1" applyAlignment="1">
      <alignment vertical="top" wrapText="1"/>
    </xf>
    <xf numFmtId="0" fontId="7" fillId="18" borderId="0" xfId="0" applyFont="1" applyFill="1" applyAlignment="1">
      <alignment vertical="center"/>
    </xf>
    <xf numFmtId="0" fontId="34" fillId="0" borderId="0" xfId="0" applyFont="1"/>
    <xf numFmtId="0" fontId="7" fillId="12" borderId="0" xfId="0" applyFont="1" applyFill="1" applyAlignment="1">
      <alignment vertical="center"/>
    </xf>
    <xf numFmtId="0" fontId="0" fillId="9" borderId="0" xfId="0" applyFill="1"/>
    <xf numFmtId="0" fontId="0" fillId="32" borderId="0" xfId="0" applyFill="1"/>
    <xf numFmtId="0" fontId="2" fillId="26" borderId="0" xfId="0" applyFont="1" applyFill="1" applyAlignment="1">
      <alignment vertical="top"/>
    </xf>
    <xf numFmtId="0" fontId="2" fillId="26" borderId="0" xfId="0" applyFont="1" applyFill="1" applyAlignment="1">
      <alignment horizontal="center" vertical="top"/>
    </xf>
    <xf numFmtId="0" fontId="0" fillId="26" borderId="0" xfId="0" applyFill="1" applyAlignment="1">
      <alignment vertical="top" wrapText="1"/>
    </xf>
    <xf numFmtId="0" fontId="0" fillId="26" borderId="0" xfId="0" applyFill="1" applyAlignment="1">
      <alignment vertical="top"/>
    </xf>
    <xf numFmtId="0" fontId="2" fillId="0" borderId="0" xfId="0" applyFont="1" applyAlignment="1">
      <alignment horizontal="center" vertical="top"/>
    </xf>
    <xf numFmtId="0" fontId="0" fillId="5" borderId="0" xfId="0" applyFill="1" applyAlignment="1">
      <alignment vertical="top" wrapText="1"/>
    </xf>
    <xf numFmtId="0" fontId="0" fillId="30" borderId="0" xfId="0" quotePrefix="1" applyFill="1" applyAlignment="1">
      <alignment vertical="top" wrapText="1"/>
    </xf>
    <xf numFmtId="0" fontId="37" fillId="0" borderId="0" xfId="0" applyFont="1"/>
    <xf numFmtId="0" fontId="5" fillId="0" borderId="0" xfId="0" applyFont="1" applyAlignment="1">
      <alignment wrapText="1"/>
    </xf>
    <xf numFmtId="0" fontId="5" fillId="0" borderId="0" xfId="0" applyFont="1"/>
    <xf numFmtId="14" fontId="2" fillId="0" borderId="0" xfId="0" applyNumberFormat="1" applyFont="1" applyAlignment="1">
      <alignment horizontal="left"/>
    </xf>
    <xf numFmtId="0" fontId="0" fillId="0" borderId="8" xfId="0" applyBorder="1" applyAlignment="1">
      <alignment horizontal="left"/>
    </xf>
    <xf numFmtId="0" fontId="0" fillId="0" borderId="9" xfId="0" applyBorder="1" applyAlignment="1">
      <alignment horizontal="left"/>
    </xf>
    <xf numFmtId="0" fontId="0" fillId="30" borderId="10" xfId="0" applyFill="1" applyBorder="1" applyAlignment="1">
      <alignment horizontal="center"/>
    </xf>
    <xf numFmtId="0" fontId="9" fillId="0" borderId="0" xfId="0" applyFont="1" applyAlignment="1">
      <alignment horizontal="center"/>
    </xf>
  </cellXfs>
  <cellStyles count="2">
    <cellStyle name="Hyperlink" xfId="1" builtinId="8"/>
    <cellStyle name="Normal" xfId="0" builtinId="0"/>
  </cellStyles>
  <dxfs count="200">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
      <fill>
        <patternFill>
          <bgColor rgb="FFFFCE33"/>
        </patternFill>
      </fill>
    </dxf>
    <dxf>
      <fill>
        <patternFill>
          <bgColor theme="8" tint="0.79998168889431442"/>
        </patternFill>
      </fill>
    </dxf>
    <dxf>
      <fill>
        <patternFill>
          <bgColor rgb="FF92D050"/>
        </patternFill>
      </fill>
    </dxf>
    <dxf>
      <fill>
        <patternFill>
          <bgColor rgb="FF33CCCC"/>
        </patternFill>
      </fill>
    </dxf>
    <dxf>
      <fill>
        <patternFill>
          <bgColor rgb="FFEE954C"/>
        </patternFill>
      </fill>
    </dxf>
    <dxf>
      <font>
        <color theme="0"/>
      </font>
      <fill>
        <patternFill>
          <bgColor theme="6"/>
        </patternFill>
      </fill>
    </dxf>
    <dxf>
      <font>
        <color theme="0"/>
      </font>
      <fill>
        <patternFill>
          <bgColor theme="4"/>
        </patternFill>
      </fill>
    </dxf>
    <dxf>
      <fill>
        <patternFill>
          <bgColor theme="5" tint="0.79998168889431442"/>
        </patternFill>
      </fill>
    </dxf>
    <dxf>
      <fill>
        <patternFill>
          <bgColor theme="9" tint="0.79998168889431442"/>
        </patternFill>
      </fill>
    </dxf>
    <dxf>
      <fill>
        <patternFill>
          <bgColor rgb="FFFF66CC"/>
        </patternFill>
      </fill>
    </dxf>
  </dxfs>
  <tableStyles count="0" defaultTableStyle="TableStyleMedium2" defaultPivotStyle="PivotStyleLight16"/>
  <colors>
    <mruColors>
      <color rgb="FFFFFFCC"/>
      <color rgb="FFCCFF99"/>
      <color rgb="FFFF66CC"/>
      <color rgb="FFEE954C"/>
      <color rgb="FFFFCE33"/>
      <color rgb="FF33CCCC"/>
      <color rgb="FF1FA7C7"/>
      <color rgb="FF7FD7E3"/>
      <color rgb="FFC6F2F1"/>
      <color rgb="FF1B8A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114300</xdr:colOff>
      <xdr:row>16</xdr:row>
      <xdr:rowOff>85725</xdr:rowOff>
    </xdr:from>
    <xdr:to>
      <xdr:col>1</xdr:col>
      <xdr:colOff>2792512</xdr:colOff>
      <xdr:row>25</xdr:row>
      <xdr:rowOff>142875</xdr:rowOff>
    </xdr:to>
    <xdr:pic>
      <xdr:nvPicPr>
        <xdr:cNvPr id="6" name="Picture 5">
          <a:extLst>
            <a:ext uri="{FF2B5EF4-FFF2-40B4-BE49-F238E27FC236}">
              <a16:creationId xmlns:a16="http://schemas.microsoft.com/office/drawing/2014/main" id="{92DB2263-6B07-4204-3EBD-A2126A9A2EB5}"/>
            </a:ext>
          </a:extLst>
        </xdr:cNvPr>
        <xdr:cNvPicPr>
          <a:picLocks noChangeAspect="1"/>
        </xdr:cNvPicPr>
      </xdr:nvPicPr>
      <xdr:blipFill>
        <a:blip xmlns:r="http://schemas.openxmlformats.org/officeDocument/2006/relationships" r:embed="rId1"/>
        <a:stretch>
          <a:fillRect/>
        </a:stretch>
      </xdr:blipFill>
      <xdr:spPr>
        <a:xfrm>
          <a:off x="762000" y="3981450"/>
          <a:ext cx="2678212" cy="1685925"/>
        </a:xfrm>
        <a:prstGeom prst="rect">
          <a:avLst/>
        </a:prstGeom>
      </xdr:spPr>
    </xdr:pic>
    <xdr:clientData/>
  </xdr:twoCellAnchor>
  <xdr:twoCellAnchor editAs="oneCell">
    <xdr:from>
      <xdr:col>1</xdr:col>
      <xdr:colOff>2581275</xdr:colOff>
      <xdr:row>20</xdr:row>
      <xdr:rowOff>133350</xdr:rowOff>
    </xdr:from>
    <xdr:to>
      <xdr:col>1</xdr:col>
      <xdr:colOff>3267075</xdr:colOff>
      <xdr:row>24</xdr:row>
      <xdr:rowOff>95250</xdr:rowOff>
    </xdr:to>
    <xdr:pic>
      <xdr:nvPicPr>
        <xdr:cNvPr id="5" name="Graphic 4" descr="Cursor with solid fill">
          <a:extLst>
            <a:ext uri="{FF2B5EF4-FFF2-40B4-BE49-F238E27FC236}">
              <a16:creationId xmlns:a16="http://schemas.microsoft.com/office/drawing/2014/main" id="{FE3208BF-787F-E330-0BFA-C9AF9BE0F4A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228975" y="4752975"/>
          <a:ext cx="685800" cy="68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23812</xdr:colOff>
      <xdr:row>1</xdr:row>
      <xdr:rowOff>388937</xdr:rowOff>
    </xdr:from>
    <xdr:to>
      <xdr:col>21</xdr:col>
      <xdr:colOff>7937</xdr:colOff>
      <xdr:row>5</xdr:row>
      <xdr:rowOff>73819</xdr:rowOff>
    </xdr:to>
    <xdr:sp macro="" textlink="">
      <xdr:nvSpPr>
        <xdr:cNvPr id="2" name="Left Brace 1">
          <a:extLst>
            <a:ext uri="{FF2B5EF4-FFF2-40B4-BE49-F238E27FC236}">
              <a16:creationId xmlns:a16="http://schemas.microsoft.com/office/drawing/2014/main" id="{8EC33820-0F47-433B-A48A-409C132F3FB4}"/>
            </a:ext>
          </a:extLst>
        </xdr:cNvPr>
        <xdr:cNvSpPr/>
      </xdr:nvSpPr>
      <xdr:spPr>
        <a:xfrm rot="5400000">
          <a:off x="20559314" y="-15369778"/>
          <a:ext cx="665957" cy="32240538"/>
        </a:xfrm>
        <a:prstGeom prst="leftBrace">
          <a:avLst>
            <a:gd name="adj1" fmla="val 8333"/>
            <a:gd name="adj2" fmla="val 82877"/>
          </a:avLst>
        </a:prstGeom>
      </xdr:spPr>
      <xdr:style>
        <a:lnRef idx="2">
          <a:schemeClr val="accent2"/>
        </a:lnRef>
        <a:fillRef idx="0">
          <a:schemeClr val="accent2"/>
        </a:fillRef>
        <a:effectRef idx="1">
          <a:schemeClr val="accent2"/>
        </a:effectRef>
        <a:fontRef idx="minor">
          <a:schemeClr val="tx1"/>
        </a:fontRef>
      </xdr:style>
      <xdr:txBody>
        <a:bodyPr rtlCol="0" anchor="ctr"/>
        <a:lstStyle/>
        <a:p>
          <a:pPr algn="l"/>
          <a:endParaRPr lang="en-US" sz="1100" kern="1200"/>
        </a:p>
      </xdr:txBody>
    </xdr:sp>
    <xdr:clientData/>
  </xdr:twoCellAnchor>
  <xdr:twoCellAnchor>
    <xdr:from>
      <xdr:col>6</xdr:col>
      <xdr:colOff>379412</xdr:colOff>
      <xdr:row>1</xdr:row>
      <xdr:rowOff>55562</xdr:rowOff>
    </xdr:from>
    <xdr:to>
      <xdr:col>7</xdr:col>
      <xdr:colOff>1011237</xdr:colOff>
      <xdr:row>1</xdr:row>
      <xdr:rowOff>369887</xdr:rowOff>
    </xdr:to>
    <xdr:sp macro="" textlink="">
      <xdr:nvSpPr>
        <xdr:cNvPr id="3" name="TextBox 2">
          <a:extLst>
            <a:ext uri="{FF2B5EF4-FFF2-40B4-BE49-F238E27FC236}">
              <a16:creationId xmlns:a16="http://schemas.microsoft.com/office/drawing/2014/main" id="{34823CF0-B1BB-49FB-8DDD-F049E5221222}"/>
            </a:ext>
          </a:extLst>
        </xdr:cNvPr>
        <xdr:cNvSpPr txBox="1"/>
      </xdr:nvSpPr>
      <xdr:spPr>
        <a:xfrm>
          <a:off x="8904287" y="84137"/>
          <a:ext cx="2660650"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kern="1200">
              <a:solidFill>
                <a:schemeClr val="accent2"/>
              </a:solidFill>
            </a:rPr>
            <a:t>USE DROPDOWN OPTIONS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pp.conceptboard.com/board/f0me-e76e-2982-gnpi-oun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EB46B-04DE-4BAB-A1AD-58A29B93E91E}">
  <sheetPr codeName="Sheet1"/>
  <dimension ref="A2:C29"/>
  <sheetViews>
    <sheetView workbookViewId="0">
      <selection activeCell="B23" sqref="B23"/>
    </sheetView>
  </sheetViews>
  <sheetFormatPr defaultRowHeight="14.5" x14ac:dyDescent="0.35"/>
  <cols>
    <col min="2" max="2" width="144" customWidth="1"/>
  </cols>
  <sheetData>
    <row r="2" spans="1:3" ht="22.5" customHeight="1" x14ac:dyDescent="0.35">
      <c r="A2" s="34" t="s">
        <v>0</v>
      </c>
      <c r="B2" s="34"/>
      <c r="C2" s="34"/>
    </row>
    <row r="5" spans="1:3" ht="30.75" customHeight="1" x14ac:dyDescent="0.55000000000000004">
      <c r="A5" s="36" t="s">
        <v>1</v>
      </c>
    </row>
    <row r="6" spans="1:3" ht="20.25" customHeight="1" x14ac:dyDescent="0.45">
      <c r="A6" s="38" t="s">
        <v>2</v>
      </c>
    </row>
    <row r="8" spans="1:3" ht="22.15" customHeight="1" x14ac:dyDescent="0.4">
      <c r="B8" s="35" t="s">
        <v>3</v>
      </c>
    </row>
    <row r="9" spans="1:3" ht="22.15" customHeight="1" x14ac:dyDescent="0.35"/>
    <row r="10" spans="1:3" ht="22.15" customHeight="1" x14ac:dyDescent="0.4">
      <c r="B10" s="35" t="s">
        <v>4</v>
      </c>
    </row>
    <row r="11" spans="1:3" ht="22.15" customHeight="1" x14ac:dyDescent="0.4">
      <c r="B11" s="35" t="s">
        <v>5</v>
      </c>
    </row>
    <row r="12" spans="1:3" ht="22.15" customHeight="1" x14ac:dyDescent="0.35"/>
    <row r="13" spans="1:3" ht="22.15" customHeight="1" x14ac:dyDescent="0.4">
      <c r="B13" s="35" t="s">
        <v>6</v>
      </c>
    </row>
    <row r="14" spans="1:3" ht="22.15" customHeight="1" x14ac:dyDescent="0.4">
      <c r="B14" s="37" t="s">
        <v>7</v>
      </c>
    </row>
    <row r="16" spans="1:3" x14ac:dyDescent="0.35">
      <c r="B16" s="1" t="s">
        <v>8</v>
      </c>
    </row>
    <row r="29" spans="2:2" x14ac:dyDescent="0.35">
      <c r="B29" s="109" t="s">
        <v>9</v>
      </c>
    </row>
  </sheetData>
  <pageMargins left="0.7" right="0.7" top="0.75" bottom="0.75" header="0.3" footer="0.3"/>
  <pageSetup paperSize="256"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0C8FB-4043-49C9-893A-E75C7E1530CD}">
  <sheetPr codeName="Sheet2">
    <pageSetUpPr fitToPage="1"/>
  </sheetPr>
  <dimension ref="A1:X129"/>
  <sheetViews>
    <sheetView showGridLines="0" tabSelected="1" zoomScaleNormal="100" workbookViewId="0">
      <pane ySplit="7" topLeftCell="A120" activePane="bottomLeft" state="frozen"/>
      <selection pane="bottomLeft" activeCell="E126" sqref="E126"/>
    </sheetView>
  </sheetViews>
  <sheetFormatPr defaultRowHeight="14.5" x14ac:dyDescent="0.35"/>
  <cols>
    <col min="1" max="1" width="5.81640625" style="46" customWidth="1"/>
    <col min="2" max="2" width="16.453125" customWidth="1"/>
    <col min="3" max="3" width="7" customWidth="1"/>
    <col min="4" max="4" width="37" style="2" customWidth="1"/>
    <col min="5" max="5" width="28.26953125" customWidth="1"/>
    <col min="6" max="6" width="24.54296875" customWidth="1"/>
    <col min="7" max="7" width="28.453125" customWidth="1"/>
    <col min="8" max="8" width="24.81640625" customWidth="1"/>
    <col min="9" max="9" width="22.7265625" customWidth="1"/>
    <col min="10" max="11" width="23.81640625" customWidth="1"/>
    <col min="12" max="20" width="26" customWidth="1"/>
    <col min="21" max="21" width="40.7265625" customWidth="1"/>
    <col min="22" max="22" width="58.7265625" customWidth="1"/>
  </cols>
  <sheetData>
    <row r="1" spans="1:24" ht="2.25" customHeight="1" x14ac:dyDescent="0.35"/>
    <row r="2" spans="1:24" ht="32.25" customHeight="1" x14ac:dyDescent="0.5">
      <c r="B2" s="25" t="s">
        <v>10</v>
      </c>
      <c r="F2" s="24"/>
      <c r="I2" s="12"/>
      <c r="J2" s="12"/>
      <c r="K2" s="12"/>
      <c r="L2" s="12"/>
      <c r="M2" s="12"/>
      <c r="N2" s="12"/>
      <c r="O2" s="12"/>
      <c r="P2" s="12"/>
      <c r="Q2" s="12"/>
      <c r="R2" s="12"/>
      <c r="S2" s="12"/>
      <c r="T2" s="12"/>
    </row>
    <row r="3" spans="1:24" ht="16" x14ac:dyDescent="0.4">
      <c r="B3" s="26" t="s">
        <v>2</v>
      </c>
      <c r="F3" s="23"/>
      <c r="G3" s="3"/>
      <c r="H3" s="3"/>
      <c r="I3" s="3"/>
      <c r="J3" s="3"/>
      <c r="K3" s="3"/>
      <c r="L3" s="121" t="s">
        <v>11</v>
      </c>
      <c r="M3" s="3"/>
      <c r="N3" s="3"/>
      <c r="O3" s="3"/>
      <c r="P3" s="3"/>
      <c r="Q3" s="3"/>
      <c r="R3" s="3"/>
      <c r="S3" s="3"/>
      <c r="T3" s="3"/>
    </row>
    <row r="4" spans="1:24" ht="16.5" customHeight="1" x14ac:dyDescent="0.35">
      <c r="B4" s="151">
        <v>45849</v>
      </c>
      <c r="F4" s="23"/>
      <c r="G4" s="3"/>
      <c r="H4" s="3"/>
      <c r="I4" s="3"/>
      <c r="J4" s="3"/>
      <c r="K4" s="3"/>
      <c r="L4" s="121" t="s">
        <v>12</v>
      </c>
      <c r="M4" s="3"/>
      <c r="N4" s="3"/>
      <c r="O4" s="3"/>
      <c r="P4" s="3"/>
      <c r="Q4" s="3"/>
      <c r="R4" s="3"/>
      <c r="S4" s="3"/>
      <c r="T4" s="3"/>
      <c r="X4" s="3"/>
    </row>
    <row r="5" spans="1:24" ht="16.5" customHeight="1" x14ac:dyDescent="0.5">
      <c r="B5" s="148" t="s">
        <v>13</v>
      </c>
      <c r="F5" s="23"/>
      <c r="H5" s="2"/>
      <c r="J5" s="3"/>
      <c r="K5" s="3"/>
      <c r="L5" s="121" t="s">
        <v>14</v>
      </c>
      <c r="M5" s="3"/>
      <c r="N5" s="3"/>
      <c r="O5" s="3"/>
      <c r="P5" s="3"/>
      <c r="Q5" s="3"/>
      <c r="R5" s="3"/>
      <c r="S5" s="3"/>
      <c r="T5" s="3"/>
      <c r="X5" s="3"/>
    </row>
    <row r="6" spans="1:24" s="120" customFormat="1" ht="24.5" thickBot="1" x14ac:dyDescent="0.35">
      <c r="A6" s="113"/>
      <c r="B6" s="114"/>
      <c r="C6" s="114"/>
      <c r="D6" s="115"/>
      <c r="E6" s="116" t="s">
        <v>15</v>
      </c>
      <c r="F6" s="114"/>
      <c r="G6" s="117" t="s">
        <v>16</v>
      </c>
      <c r="H6" s="118" t="s">
        <v>17</v>
      </c>
      <c r="I6" s="118" t="s">
        <v>18</v>
      </c>
      <c r="J6" s="116"/>
      <c r="K6" s="116"/>
      <c r="L6" s="116"/>
      <c r="M6" s="116"/>
      <c r="N6" s="116"/>
      <c r="O6" s="116" t="s">
        <v>19</v>
      </c>
      <c r="P6" s="116" t="s">
        <v>20</v>
      </c>
      <c r="Q6" s="116" t="s">
        <v>20</v>
      </c>
      <c r="R6" s="116" t="s">
        <v>20</v>
      </c>
      <c r="S6" s="116" t="s">
        <v>20</v>
      </c>
      <c r="T6" s="116" t="s">
        <v>20</v>
      </c>
      <c r="U6" s="119" t="s">
        <v>21</v>
      </c>
      <c r="V6" s="114" t="s">
        <v>22</v>
      </c>
    </row>
    <row r="7" spans="1:24" ht="45.75" customHeight="1" thickBot="1" x14ac:dyDescent="0.4">
      <c r="B7" s="13" t="s">
        <v>23</v>
      </c>
      <c r="C7" s="14" t="s">
        <v>24</v>
      </c>
      <c r="D7" s="14" t="s">
        <v>25</v>
      </c>
      <c r="E7" s="14" t="s">
        <v>26</v>
      </c>
      <c r="F7" s="14" t="s">
        <v>27</v>
      </c>
      <c r="G7" s="14" t="s">
        <v>28</v>
      </c>
      <c r="H7" s="14" t="s">
        <v>29</v>
      </c>
      <c r="I7" s="14" t="s">
        <v>30</v>
      </c>
      <c r="J7" s="14" t="s">
        <v>31</v>
      </c>
      <c r="K7" s="14" t="s">
        <v>32</v>
      </c>
      <c r="L7" s="14" t="s">
        <v>33</v>
      </c>
      <c r="M7" s="14" t="s">
        <v>34</v>
      </c>
      <c r="N7" s="14" t="s">
        <v>35</v>
      </c>
      <c r="O7" s="14" t="s">
        <v>36</v>
      </c>
      <c r="P7" s="14" t="s">
        <v>37</v>
      </c>
      <c r="Q7" s="14" t="s">
        <v>38</v>
      </c>
      <c r="R7" s="14" t="s">
        <v>39</v>
      </c>
      <c r="S7" s="14" t="s">
        <v>40</v>
      </c>
      <c r="T7" s="14" t="s">
        <v>41</v>
      </c>
      <c r="U7" s="14" t="s">
        <v>42</v>
      </c>
      <c r="V7" s="15" t="s">
        <v>43</v>
      </c>
    </row>
    <row r="8" spans="1:24" s="40" customFormat="1" ht="29" x14ac:dyDescent="0.35">
      <c r="A8" s="112" t="s">
        <v>44</v>
      </c>
      <c r="B8" s="10" t="s">
        <v>45</v>
      </c>
      <c r="C8" s="10" t="s">
        <v>46</v>
      </c>
      <c r="D8" s="4" t="s">
        <v>47</v>
      </c>
      <c r="E8" s="4" t="s">
        <v>48</v>
      </c>
      <c r="F8" s="4" t="s">
        <v>49</v>
      </c>
      <c r="G8" s="4" t="s">
        <v>50</v>
      </c>
      <c r="H8" s="4" t="s">
        <v>51</v>
      </c>
      <c r="I8" s="4" t="s">
        <v>52</v>
      </c>
      <c r="J8" s="4" t="s">
        <v>53</v>
      </c>
      <c r="K8" s="4" t="s">
        <v>53</v>
      </c>
      <c r="L8" s="4" t="s">
        <v>54</v>
      </c>
      <c r="M8" s="4" t="s">
        <v>53</v>
      </c>
      <c r="N8" s="4" t="s">
        <v>53</v>
      </c>
      <c r="O8" s="4" t="s">
        <v>53</v>
      </c>
      <c r="P8" s="4" t="s">
        <v>55</v>
      </c>
      <c r="Q8" s="4" t="s">
        <v>56</v>
      </c>
      <c r="R8" s="4" t="s">
        <v>55</v>
      </c>
      <c r="S8" s="4" t="s">
        <v>55</v>
      </c>
      <c r="T8" s="4" t="s">
        <v>56</v>
      </c>
      <c r="U8" s="4" t="s">
        <v>57</v>
      </c>
      <c r="V8" s="4"/>
    </row>
    <row r="9" spans="1:24" s="40" customFormat="1" ht="72.5" x14ac:dyDescent="0.35">
      <c r="A9" s="112" t="s">
        <v>44</v>
      </c>
      <c r="B9" s="10" t="s">
        <v>45</v>
      </c>
      <c r="C9" s="10" t="s">
        <v>58</v>
      </c>
      <c r="D9" s="4" t="s">
        <v>59</v>
      </c>
      <c r="E9" s="40" t="s">
        <v>60</v>
      </c>
      <c r="F9" s="40" t="s">
        <v>61</v>
      </c>
      <c r="G9" s="40" t="s">
        <v>62</v>
      </c>
      <c r="H9" s="40" t="s">
        <v>62</v>
      </c>
      <c r="I9" s="40" t="s">
        <v>63</v>
      </c>
      <c r="J9" s="40" t="s">
        <v>63</v>
      </c>
      <c r="K9" s="40" t="s">
        <v>53</v>
      </c>
      <c r="L9" s="40" t="s">
        <v>54</v>
      </c>
      <c r="M9" s="40" t="s">
        <v>53</v>
      </c>
      <c r="N9" s="40" t="s">
        <v>53</v>
      </c>
      <c r="O9" s="40" t="s">
        <v>53</v>
      </c>
      <c r="P9" s="40" t="s">
        <v>55</v>
      </c>
      <c r="Q9" s="40" t="s">
        <v>55</v>
      </c>
      <c r="R9" s="40" t="s">
        <v>55</v>
      </c>
      <c r="S9" s="40" t="s">
        <v>55</v>
      </c>
      <c r="T9" s="40" t="s">
        <v>55</v>
      </c>
      <c r="U9" s="40" t="s">
        <v>64</v>
      </c>
      <c r="V9" s="4" t="s">
        <v>65</v>
      </c>
    </row>
    <row r="10" spans="1:24" s="40" customFormat="1" ht="58" x14ac:dyDescent="0.35">
      <c r="A10" s="112" t="s">
        <v>44</v>
      </c>
      <c r="B10" s="10" t="s">
        <v>45</v>
      </c>
      <c r="C10" s="10" t="s">
        <v>66</v>
      </c>
      <c r="D10" s="4" t="s">
        <v>67</v>
      </c>
      <c r="E10" s="40" t="s">
        <v>60</v>
      </c>
      <c r="F10" s="40" t="s">
        <v>61</v>
      </c>
      <c r="G10" s="40" t="s">
        <v>62</v>
      </c>
      <c r="H10" s="40" t="s">
        <v>62</v>
      </c>
      <c r="I10" s="40" t="s">
        <v>68</v>
      </c>
      <c r="J10" s="40" t="s">
        <v>63</v>
      </c>
      <c r="K10" s="40" t="s">
        <v>53</v>
      </c>
      <c r="L10" s="40" t="s">
        <v>69</v>
      </c>
      <c r="M10" s="40" t="s">
        <v>53</v>
      </c>
      <c r="N10" s="40" t="s">
        <v>53</v>
      </c>
      <c r="O10" s="40" t="s">
        <v>53</v>
      </c>
      <c r="P10" s="40" t="s">
        <v>55</v>
      </c>
      <c r="Q10" s="40" t="s">
        <v>55</v>
      </c>
      <c r="R10" s="40" t="s">
        <v>55</v>
      </c>
      <c r="S10" s="40" t="s">
        <v>55</v>
      </c>
      <c r="T10" s="40" t="s">
        <v>55</v>
      </c>
      <c r="V10" s="4" t="s">
        <v>70</v>
      </c>
    </row>
    <row r="11" spans="1:24" s="40" customFormat="1" ht="130.5" x14ac:dyDescent="0.35">
      <c r="A11" s="112" t="s">
        <v>44</v>
      </c>
      <c r="B11" s="10" t="s">
        <v>45</v>
      </c>
      <c r="C11" s="10" t="s">
        <v>71</v>
      </c>
      <c r="D11" s="4" t="s">
        <v>72</v>
      </c>
      <c r="E11" s="40" t="s">
        <v>60</v>
      </c>
      <c r="F11" s="40" t="s">
        <v>49</v>
      </c>
      <c r="G11" s="40" t="s">
        <v>73</v>
      </c>
      <c r="H11" s="40" t="s">
        <v>74</v>
      </c>
      <c r="I11" s="40" t="s">
        <v>63</v>
      </c>
      <c r="J11" s="40" t="s">
        <v>63</v>
      </c>
      <c r="K11" s="40" t="s">
        <v>53</v>
      </c>
      <c r="L11" s="40" t="s">
        <v>54</v>
      </c>
      <c r="M11" s="40" t="s">
        <v>75</v>
      </c>
      <c r="N11" s="40" t="s">
        <v>76</v>
      </c>
      <c r="O11" s="40" t="s">
        <v>53</v>
      </c>
      <c r="P11" s="40" t="s">
        <v>56</v>
      </c>
      <c r="Q11" s="40" t="s">
        <v>56</v>
      </c>
      <c r="R11" s="40" t="s">
        <v>56</v>
      </c>
      <c r="S11" s="40" t="s">
        <v>56</v>
      </c>
      <c r="T11" s="40" t="s">
        <v>56</v>
      </c>
      <c r="U11" s="40" t="s">
        <v>64</v>
      </c>
      <c r="V11" s="4"/>
    </row>
    <row r="12" spans="1:24" s="40" customFormat="1" ht="101.5" x14ac:dyDescent="0.35">
      <c r="A12" s="112" t="s">
        <v>44</v>
      </c>
      <c r="B12" s="10" t="s">
        <v>45</v>
      </c>
      <c r="C12" s="10" t="s">
        <v>77</v>
      </c>
      <c r="D12" s="4" t="s">
        <v>78</v>
      </c>
      <c r="E12" s="40" t="s">
        <v>48</v>
      </c>
      <c r="F12" s="40" t="s">
        <v>61</v>
      </c>
      <c r="G12" s="40" t="s">
        <v>62</v>
      </c>
      <c r="H12" s="40" t="s">
        <v>62</v>
      </c>
      <c r="I12" s="40" t="s">
        <v>68</v>
      </c>
      <c r="J12" s="40" t="s">
        <v>79</v>
      </c>
      <c r="K12" s="40" t="s">
        <v>53</v>
      </c>
      <c r="L12" s="40" t="s">
        <v>54</v>
      </c>
      <c r="M12" s="40" t="s">
        <v>76</v>
      </c>
      <c r="N12" s="40" t="s">
        <v>53</v>
      </c>
      <c r="O12" s="40" t="s">
        <v>53</v>
      </c>
      <c r="P12" s="40" t="s">
        <v>55</v>
      </c>
      <c r="Q12" s="40" t="s">
        <v>56</v>
      </c>
      <c r="R12" s="40" t="s">
        <v>55</v>
      </c>
      <c r="S12" s="40" t="s">
        <v>55</v>
      </c>
      <c r="T12" s="40" t="s">
        <v>55</v>
      </c>
      <c r="V12" s="4" t="s">
        <v>80</v>
      </c>
    </row>
    <row r="13" spans="1:24" s="40" customFormat="1" ht="72.5" x14ac:dyDescent="0.35">
      <c r="A13" s="112" t="s">
        <v>44</v>
      </c>
      <c r="B13" s="10" t="s">
        <v>45</v>
      </c>
      <c r="C13" s="10" t="s">
        <v>81</v>
      </c>
      <c r="D13" s="4" t="s">
        <v>82</v>
      </c>
      <c r="E13" s="40" t="s">
        <v>48</v>
      </c>
      <c r="F13" s="40" t="s">
        <v>61</v>
      </c>
      <c r="G13" s="40" t="s">
        <v>62</v>
      </c>
      <c r="H13" s="40" t="s">
        <v>62</v>
      </c>
      <c r="I13" s="40" t="s">
        <v>52</v>
      </c>
      <c r="J13" s="40" t="s">
        <v>63</v>
      </c>
      <c r="K13" s="40" t="s">
        <v>53</v>
      </c>
      <c r="L13" s="40" t="s">
        <v>69</v>
      </c>
      <c r="M13" s="40" t="s">
        <v>76</v>
      </c>
      <c r="N13" s="40" t="s">
        <v>53</v>
      </c>
      <c r="O13" s="40" t="s">
        <v>53</v>
      </c>
      <c r="P13" s="40" t="s">
        <v>55</v>
      </c>
      <c r="Q13" s="40" t="s">
        <v>56</v>
      </c>
      <c r="R13" s="40" t="s">
        <v>56</v>
      </c>
      <c r="S13" s="40" t="s">
        <v>55</v>
      </c>
      <c r="T13" s="40" t="s">
        <v>56</v>
      </c>
      <c r="U13" s="40" t="s">
        <v>83</v>
      </c>
      <c r="V13" s="4" t="s">
        <v>84</v>
      </c>
    </row>
    <row r="14" spans="1:24" s="40" customFormat="1" ht="58" x14ac:dyDescent="0.35">
      <c r="A14" s="112" t="s">
        <v>44</v>
      </c>
      <c r="B14" s="10" t="s">
        <v>45</v>
      </c>
      <c r="C14" s="10" t="s">
        <v>85</v>
      </c>
      <c r="D14" s="4" t="s">
        <v>86</v>
      </c>
      <c r="E14" s="40" t="s">
        <v>87</v>
      </c>
      <c r="F14" s="40" t="s">
        <v>61</v>
      </c>
      <c r="G14" s="40" t="s">
        <v>62</v>
      </c>
      <c r="H14" s="40" t="s">
        <v>62</v>
      </c>
      <c r="I14" s="40" t="s">
        <v>63</v>
      </c>
      <c r="J14" s="40" t="s">
        <v>63</v>
      </c>
      <c r="K14" s="40" t="s">
        <v>63</v>
      </c>
      <c r="L14" s="40" t="s">
        <v>54</v>
      </c>
      <c r="M14" s="40" t="s">
        <v>76</v>
      </c>
      <c r="N14" s="40" t="s">
        <v>53</v>
      </c>
      <c r="O14" s="40" t="s">
        <v>53</v>
      </c>
      <c r="P14" s="40" t="s">
        <v>55</v>
      </c>
      <c r="Q14" s="40" t="s">
        <v>56</v>
      </c>
      <c r="R14" s="40" t="s">
        <v>55</v>
      </c>
      <c r="S14" s="40" t="s">
        <v>55</v>
      </c>
      <c r="T14" s="40" t="s">
        <v>56</v>
      </c>
      <c r="V14" s="4" t="s">
        <v>88</v>
      </c>
    </row>
    <row r="15" spans="1:24" s="40" customFormat="1" ht="23.5" customHeight="1" x14ac:dyDescent="0.35">
      <c r="A15" s="112" t="s">
        <v>44</v>
      </c>
      <c r="B15" s="10" t="s">
        <v>45</v>
      </c>
      <c r="C15" s="10" t="s">
        <v>89</v>
      </c>
      <c r="D15" s="4" t="s">
        <v>90</v>
      </c>
      <c r="E15" s="40" t="s">
        <v>60</v>
      </c>
      <c r="F15" s="40" t="s">
        <v>61</v>
      </c>
      <c r="G15" s="40" t="s">
        <v>62</v>
      </c>
      <c r="H15" s="40" t="s">
        <v>62</v>
      </c>
      <c r="I15" s="40" t="s">
        <v>79</v>
      </c>
      <c r="J15" s="40" t="s">
        <v>79</v>
      </c>
      <c r="K15" s="40" t="s">
        <v>63</v>
      </c>
      <c r="L15" s="40" t="s">
        <v>69</v>
      </c>
      <c r="M15" s="40" t="s">
        <v>75</v>
      </c>
      <c r="N15" s="40" t="s">
        <v>91</v>
      </c>
      <c r="O15" s="40" t="s">
        <v>52</v>
      </c>
      <c r="P15" s="40" t="s">
        <v>56</v>
      </c>
      <c r="Q15" s="40" t="s">
        <v>56</v>
      </c>
      <c r="R15" s="40" t="s">
        <v>56</v>
      </c>
      <c r="S15" s="40" t="s">
        <v>56</v>
      </c>
      <c r="T15" s="40" t="s">
        <v>56</v>
      </c>
      <c r="U15" s="40" t="s">
        <v>92</v>
      </c>
      <c r="V15" s="4" t="s">
        <v>93</v>
      </c>
    </row>
    <row r="16" spans="1:24" s="40" customFormat="1" ht="60" customHeight="1" x14ac:dyDescent="0.35">
      <c r="A16" s="101" t="s">
        <v>94</v>
      </c>
      <c r="B16" s="10" t="s">
        <v>95</v>
      </c>
      <c r="C16" s="10" t="s">
        <v>96</v>
      </c>
      <c r="D16" s="4" t="s">
        <v>97</v>
      </c>
      <c r="E16" s="4" t="s">
        <v>60</v>
      </c>
      <c r="F16" s="4" t="s">
        <v>49</v>
      </c>
      <c r="G16" s="4" t="s">
        <v>98</v>
      </c>
      <c r="H16" s="4" t="s">
        <v>99</v>
      </c>
      <c r="I16" s="4" t="s">
        <v>52</v>
      </c>
      <c r="J16" s="4" t="s">
        <v>52</v>
      </c>
      <c r="K16" s="4" t="s">
        <v>52</v>
      </c>
      <c r="L16" s="4" t="s">
        <v>69</v>
      </c>
      <c r="M16" s="4" t="s">
        <v>76</v>
      </c>
      <c r="N16" s="4" t="s">
        <v>53</v>
      </c>
      <c r="O16" s="4" t="s">
        <v>53</v>
      </c>
      <c r="P16" s="4" t="s">
        <v>55</v>
      </c>
      <c r="Q16" s="4" t="s">
        <v>55</v>
      </c>
      <c r="R16" s="4" t="s">
        <v>55</v>
      </c>
      <c r="S16" s="4" t="s">
        <v>56</v>
      </c>
      <c r="T16" s="4" t="s">
        <v>55</v>
      </c>
      <c r="U16" s="4"/>
      <c r="V16" s="4"/>
    </row>
    <row r="17" spans="1:22" s="40" customFormat="1" ht="43.5" x14ac:dyDescent="0.35">
      <c r="A17" s="101" t="s">
        <v>94</v>
      </c>
      <c r="B17" s="10" t="s">
        <v>95</v>
      </c>
      <c r="C17" s="10" t="s">
        <v>100</v>
      </c>
      <c r="D17" s="4" t="s">
        <v>101</v>
      </c>
      <c r="E17" s="40" t="s">
        <v>48</v>
      </c>
      <c r="F17" s="40" t="s">
        <v>49</v>
      </c>
      <c r="G17" s="40" t="s">
        <v>62</v>
      </c>
      <c r="H17" s="40" t="s">
        <v>62</v>
      </c>
      <c r="I17" s="40" t="s">
        <v>63</v>
      </c>
      <c r="J17" s="40" t="s">
        <v>52</v>
      </c>
      <c r="K17" s="40" t="s">
        <v>52</v>
      </c>
      <c r="L17" s="40" t="s">
        <v>69</v>
      </c>
      <c r="M17" s="40" t="s">
        <v>53</v>
      </c>
      <c r="N17" s="40" t="s">
        <v>53</v>
      </c>
      <c r="O17" s="40" t="s">
        <v>53</v>
      </c>
      <c r="P17" s="40" t="s">
        <v>55</v>
      </c>
      <c r="Q17" s="40" t="s">
        <v>56</v>
      </c>
      <c r="R17" s="40" t="s">
        <v>56</v>
      </c>
      <c r="S17" s="40" t="s">
        <v>56</v>
      </c>
      <c r="T17" s="40" t="s">
        <v>56</v>
      </c>
      <c r="V17" s="4"/>
    </row>
    <row r="18" spans="1:22" s="40" customFormat="1" ht="29" x14ac:dyDescent="0.35">
      <c r="A18" s="101" t="s">
        <v>94</v>
      </c>
      <c r="B18" s="10" t="s">
        <v>95</v>
      </c>
      <c r="C18" s="10" t="s">
        <v>102</v>
      </c>
      <c r="D18" s="4" t="s">
        <v>103</v>
      </c>
      <c r="E18" s="40" t="s">
        <v>104</v>
      </c>
      <c r="F18" s="40" t="s">
        <v>49</v>
      </c>
      <c r="G18" s="40" t="s">
        <v>62</v>
      </c>
      <c r="H18" s="40" t="s">
        <v>62</v>
      </c>
      <c r="I18" s="40" t="s">
        <v>63</v>
      </c>
      <c r="J18" s="40" t="s">
        <v>52</v>
      </c>
      <c r="K18" s="40" t="s">
        <v>52</v>
      </c>
      <c r="L18" s="40" t="s">
        <v>54</v>
      </c>
      <c r="M18" s="40" t="s">
        <v>53</v>
      </c>
      <c r="N18" s="40" t="s">
        <v>53</v>
      </c>
      <c r="O18" s="40" t="s">
        <v>53</v>
      </c>
      <c r="P18" s="40" t="s">
        <v>55</v>
      </c>
      <c r="Q18" s="40" t="s">
        <v>55</v>
      </c>
      <c r="R18" s="40" t="s">
        <v>56</v>
      </c>
      <c r="S18" s="40" t="s">
        <v>56</v>
      </c>
      <c r="T18" s="40" t="s">
        <v>55</v>
      </c>
      <c r="V18" s="4"/>
    </row>
    <row r="19" spans="1:22" s="40" customFormat="1" ht="29" x14ac:dyDescent="0.35">
      <c r="A19" s="101" t="s">
        <v>94</v>
      </c>
      <c r="B19" s="10" t="s">
        <v>95</v>
      </c>
      <c r="C19" s="10" t="s">
        <v>105</v>
      </c>
      <c r="D19" s="4" t="s">
        <v>106</v>
      </c>
      <c r="E19" s="40" t="s">
        <v>104</v>
      </c>
      <c r="F19" s="40" t="s">
        <v>49</v>
      </c>
      <c r="G19" s="40" t="s">
        <v>50</v>
      </c>
      <c r="H19" s="40" t="s">
        <v>107</v>
      </c>
      <c r="I19" s="40" t="s">
        <v>63</v>
      </c>
      <c r="J19" s="40" t="s">
        <v>63</v>
      </c>
      <c r="K19" s="40" t="s">
        <v>52</v>
      </c>
      <c r="L19" s="40" t="s">
        <v>54</v>
      </c>
      <c r="M19" s="40" t="s">
        <v>53</v>
      </c>
      <c r="N19" s="40" t="s">
        <v>53</v>
      </c>
      <c r="O19" s="40" t="s">
        <v>53</v>
      </c>
      <c r="P19" s="40" t="s">
        <v>55</v>
      </c>
      <c r="Q19" s="40" t="s">
        <v>55</v>
      </c>
      <c r="R19" s="40" t="s">
        <v>56</v>
      </c>
      <c r="S19" s="40" t="s">
        <v>56</v>
      </c>
      <c r="T19" s="40" t="s">
        <v>55</v>
      </c>
      <c r="V19" s="4"/>
    </row>
    <row r="20" spans="1:22" s="40" customFormat="1" ht="60" customHeight="1" x14ac:dyDescent="0.35">
      <c r="A20" s="101" t="s">
        <v>94</v>
      </c>
      <c r="B20" s="10" t="s">
        <v>95</v>
      </c>
      <c r="C20" s="10" t="s">
        <v>108</v>
      </c>
      <c r="D20" s="4" t="s">
        <v>109</v>
      </c>
      <c r="E20" s="40" t="s">
        <v>60</v>
      </c>
      <c r="F20" s="40" t="s">
        <v>49</v>
      </c>
      <c r="G20" s="40" t="s">
        <v>98</v>
      </c>
      <c r="H20" s="40" t="s">
        <v>99</v>
      </c>
      <c r="I20" s="40" t="s">
        <v>52</v>
      </c>
      <c r="J20" s="40" t="s">
        <v>52</v>
      </c>
      <c r="K20" s="40" t="s">
        <v>52</v>
      </c>
      <c r="L20" s="40" t="s">
        <v>110</v>
      </c>
      <c r="M20" s="40" t="s">
        <v>76</v>
      </c>
      <c r="N20" s="40" t="s">
        <v>53</v>
      </c>
      <c r="O20" s="40" t="s">
        <v>53</v>
      </c>
      <c r="P20" s="40" t="s">
        <v>55</v>
      </c>
      <c r="Q20" s="40" t="s">
        <v>55</v>
      </c>
      <c r="R20" s="40" t="s">
        <v>56</v>
      </c>
      <c r="S20" s="40" t="s">
        <v>56</v>
      </c>
      <c r="T20" s="40" t="s">
        <v>56</v>
      </c>
      <c r="V20" s="4"/>
    </row>
    <row r="21" spans="1:22" s="40" customFormat="1" ht="29" x14ac:dyDescent="0.35">
      <c r="A21" s="101" t="s">
        <v>94</v>
      </c>
      <c r="B21" s="10" t="s">
        <v>95</v>
      </c>
      <c r="C21" s="10" t="s">
        <v>111</v>
      </c>
      <c r="D21" s="4" t="s">
        <v>112</v>
      </c>
      <c r="E21" s="40" t="s">
        <v>104</v>
      </c>
      <c r="F21" s="40" t="s">
        <v>49</v>
      </c>
      <c r="G21" s="40" t="s">
        <v>50</v>
      </c>
      <c r="H21" s="40" t="s">
        <v>99</v>
      </c>
      <c r="I21" s="40" t="s">
        <v>63</v>
      </c>
      <c r="J21" s="40" t="s">
        <v>52</v>
      </c>
      <c r="K21" s="40" t="s">
        <v>63</v>
      </c>
      <c r="L21" s="40" t="s">
        <v>54</v>
      </c>
      <c r="M21" s="40" t="s">
        <v>53</v>
      </c>
      <c r="N21" s="40" t="s">
        <v>53</v>
      </c>
      <c r="O21" s="40" t="s">
        <v>53</v>
      </c>
      <c r="P21" s="40" t="s">
        <v>55</v>
      </c>
      <c r="Q21" s="40" t="s">
        <v>55</v>
      </c>
      <c r="R21" s="40" t="s">
        <v>55</v>
      </c>
      <c r="S21" s="40" t="s">
        <v>56</v>
      </c>
      <c r="T21" s="40" t="s">
        <v>55</v>
      </c>
      <c r="V21" s="4"/>
    </row>
    <row r="22" spans="1:22" s="40" customFormat="1" ht="43.5" x14ac:dyDescent="0.35">
      <c r="A22" s="101" t="s">
        <v>94</v>
      </c>
      <c r="B22" s="10" t="s">
        <v>95</v>
      </c>
      <c r="C22" s="10" t="s">
        <v>113</v>
      </c>
      <c r="D22" s="4" t="s">
        <v>114</v>
      </c>
      <c r="E22" s="40" t="s">
        <v>60</v>
      </c>
      <c r="F22" s="40" t="s">
        <v>49</v>
      </c>
      <c r="G22" s="40" t="s">
        <v>62</v>
      </c>
      <c r="H22" s="40" t="s">
        <v>115</v>
      </c>
      <c r="I22" s="40" t="s">
        <v>79</v>
      </c>
      <c r="J22" s="40" t="s">
        <v>52</v>
      </c>
      <c r="K22" s="40" t="s">
        <v>63</v>
      </c>
      <c r="L22" s="40" t="s">
        <v>110</v>
      </c>
      <c r="M22" s="40" t="s">
        <v>76</v>
      </c>
      <c r="N22" s="40" t="s">
        <v>53</v>
      </c>
      <c r="O22" s="40" t="s">
        <v>53</v>
      </c>
      <c r="P22" s="40" t="s">
        <v>55</v>
      </c>
      <c r="Q22" s="40" t="s">
        <v>55</v>
      </c>
      <c r="R22" s="40" t="s">
        <v>56</v>
      </c>
      <c r="S22" s="40" t="s">
        <v>56</v>
      </c>
      <c r="T22" s="40" t="s">
        <v>56</v>
      </c>
      <c r="V22" s="4"/>
    </row>
    <row r="23" spans="1:22" s="40" customFormat="1" ht="29" x14ac:dyDescent="0.35">
      <c r="A23" s="101" t="s">
        <v>94</v>
      </c>
      <c r="B23" s="10" t="s">
        <v>95</v>
      </c>
      <c r="C23" s="10" t="s">
        <v>116</v>
      </c>
      <c r="D23" s="4" t="s">
        <v>117</v>
      </c>
      <c r="E23" s="40" t="s">
        <v>60</v>
      </c>
      <c r="F23" s="40" t="s">
        <v>49</v>
      </c>
      <c r="G23" s="40" t="s">
        <v>50</v>
      </c>
      <c r="H23" s="40" t="s">
        <v>107</v>
      </c>
      <c r="I23" s="40" t="s">
        <v>63</v>
      </c>
      <c r="J23" s="40" t="s">
        <v>63</v>
      </c>
      <c r="K23" s="40" t="s">
        <v>52</v>
      </c>
      <c r="L23" s="40" t="s">
        <v>69</v>
      </c>
      <c r="M23" s="40" t="s">
        <v>76</v>
      </c>
      <c r="N23" s="40" t="s">
        <v>53</v>
      </c>
      <c r="O23" s="40" t="s">
        <v>53</v>
      </c>
      <c r="P23" s="40" t="s">
        <v>55</v>
      </c>
      <c r="Q23" s="40" t="s">
        <v>55</v>
      </c>
      <c r="R23" s="40" t="s">
        <v>55</v>
      </c>
      <c r="S23" s="40" t="s">
        <v>56</v>
      </c>
      <c r="T23" s="40" t="s">
        <v>56</v>
      </c>
      <c r="V23" s="4"/>
    </row>
    <row r="24" spans="1:22" s="40" customFormat="1" ht="58" x14ac:dyDescent="0.35">
      <c r="A24" s="101" t="s">
        <v>94</v>
      </c>
      <c r="B24" s="10" t="s">
        <v>95</v>
      </c>
      <c r="C24" s="10" t="s">
        <v>118</v>
      </c>
      <c r="D24" s="4" t="s">
        <v>119</v>
      </c>
      <c r="E24" s="40" t="s">
        <v>104</v>
      </c>
      <c r="F24" s="40" t="s">
        <v>49</v>
      </c>
      <c r="G24" s="40" t="s">
        <v>62</v>
      </c>
      <c r="H24" s="40" t="s">
        <v>62</v>
      </c>
      <c r="I24" s="40" t="s">
        <v>68</v>
      </c>
      <c r="J24" s="40" t="s">
        <v>52</v>
      </c>
      <c r="K24" s="40" t="s">
        <v>79</v>
      </c>
      <c r="L24" s="40" t="s">
        <v>54</v>
      </c>
      <c r="M24" s="40" t="s">
        <v>53</v>
      </c>
      <c r="N24" s="40" t="s">
        <v>53</v>
      </c>
      <c r="O24" s="40" t="s">
        <v>53</v>
      </c>
      <c r="P24" s="40" t="s">
        <v>55</v>
      </c>
      <c r="Q24" s="40" t="s">
        <v>55</v>
      </c>
      <c r="R24" s="40" t="s">
        <v>55</v>
      </c>
      <c r="S24" s="40" t="s">
        <v>56</v>
      </c>
      <c r="T24" s="40" t="s">
        <v>55</v>
      </c>
      <c r="V24" s="4"/>
    </row>
    <row r="25" spans="1:22" s="40" customFormat="1" x14ac:dyDescent="0.35">
      <c r="A25" s="101" t="s">
        <v>94</v>
      </c>
      <c r="B25" s="10" t="s">
        <v>95</v>
      </c>
      <c r="C25" s="10" t="s">
        <v>120</v>
      </c>
      <c r="D25" s="4" t="s">
        <v>121</v>
      </c>
      <c r="E25" s="40" t="s">
        <v>60</v>
      </c>
      <c r="F25" s="40" t="s">
        <v>49</v>
      </c>
      <c r="G25" s="40" t="s">
        <v>62</v>
      </c>
      <c r="H25" s="40" t="s">
        <v>115</v>
      </c>
      <c r="I25" s="40" t="s">
        <v>63</v>
      </c>
      <c r="J25" s="40" t="s">
        <v>52</v>
      </c>
      <c r="K25" s="40" t="s">
        <v>52</v>
      </c>
      <c r="L25" s="40" t="s">
        <v>69</v>
      </c>
      <c r="M25" s="40" t="s">
        <v>76</v>
      </c>
      <c r="N25" s="40" t="s">
        <v>53</v>
      </c>
      <c r="O25" s="40" t="s">
        <v>53</v>
      </c>
      <c r="P25" s="40" t="s">
        <v>55</v>
      </c>
      <c r="Q25" s="40" t="s">
        <v>55</v>
      </c>
      <c r="R25" s="40" t="s">
        <v>55</v>
      </c>
      <c r="S25" s="40" t="s">
        <v>56</v>
      </c>
      <c r="T25" s="40" t="s">
        <v>55</v>
      </c>
      <c r="V25" s="4"/>
    </row>
    <row r="26" spans="1:22" s="40" customFormat="1" x14ac:dyDescent="0.35">
      <c r="A26" s="101" t="s">
        <v>94</v>
      </c>
      <c r="B26" s="10" t="s">
        <v>95</v>
      </c>
      <c r="C26" s="10" t="s">
        <v>122</v>
      </c>
      <c r="D26" s="4" t="s">
        <v>123</v>
      </c>
      <c r="E26" s="40" t="s">
        <v>60</v>
      </c>
      <c r="F26" s="40" t="s">
        <v>49</v>
      </c>
      <c r="G26" s="40" t="s">
        <v>62</v>
      </c>
      <c r="H26" s="40" t="s">
        <v>107</v>
      </c>
      <c r="I26" s="40" t="s">
        <v>63</v>
      </c>
      <c r="J26" s="40" t="s">
        <v>52</v>
      </c>
      <c r="K26" s="40" t="s">
        <v>52</v>
      </c>
      <c r="L26" s="40" t="s">
        <v>69</v>
      </c>
      <c r="M26" s="40" t="s">
        <v>76</v>
      </c>
      <c r="N26" s="40" t="s">
        <v>53</v>
      </c>
      <c r="O26" s="40" t="s">
        <v>53</v>
      </c>
      <c r="P26" s="40" t="s">
        <v>55</v>
      </c>
      <c r="Q26" s="40" t="s">
        <v>55</v>
      </c>
      <c r="R26" s="40" t="s">
        <v>55</v>
      </c>
      <c r="S26" s="40" t="s">
        <v>56</v>
      </c>
      <c r="T26" s="40" t="s">
        <v>55</v>
      </c>
      <c r="V26" s="4"/>
    </row>
    <row r="27" spans="1:22" s="40" customFormat="1" ht="29" x14ac:dyDescent="0.35">
      <c r="A27" s="101" t="s">
        <v>94</v>
      </c>
      <c r="B27" s="10" t="s">
        <v>95</v>
      </c>
      <c r="C27" s="10" t="s">
        <v>124</v>
      </c>
      <c r="D27" s="4" t="s">
        <v>125</v>
      </c>
      <c r="E27" s="40" t="s">
        <v>48</v>
      </c>
      <c r="F27" s="40" t="s">
        <v>61</v>
      </c>
      <c r="G27" s="40" t="s">
        <v>62</v>
      </c>
      <c r="H27" s="40" t="s">
        <v>62</v>
      </c>
      <c r="I27" s="40" t="s">
        <v>68</v>
      </c>
      <c r="J27" s="40" t="s">
        <v>52</v>
      </c>
      <c r="K27" s="40" t="s">
        <v>79</v>
      </c>
      <c r="L27" s="40" t="s">
        <v>54</v>
      </c>
      <c r="M27" s="40" t="s">
        <v>53</v>
      </c>
      <c r="N27" s="40" t="s">
        <v>53</v>
      </c>
      <c r="O27" s="40" t="s">
        <v>53</v>
      </c>
      <c r="P27" s="40" t="s">
        <v>55</v>
      </c>
      <c r="Q27" s="40" t="s">
        <v>56</v>
      </c>
      <c r="R27" s="40" t="s">
        <v>56</v>
      </c>
      <c r="S27" s="40" t="s">
        <v>56</v>
      </c>
      <c r="T27" s="40" t="s">
        <v>56</v>
      </c>
      <c r="V27" s="4"/>
    </row>
    <row r="28" spans="1:22" s="40" customFormat="1" ht="43.5" x14ac:dyDescent="0.35">
      <c r="A28" s="101" t="s">
        <v>94</v>
      </c>
      <c r="B28" s="10" t="s">
        <v>95</v>
      </c>
      <c r="C28" s="10" t="s">
        <v>126</v>
      </c>
      <c r="D28" s="4" t="s">
        <v>127</v>
      </c>
      <c r="E28" s="40" t="s">
        <v>104</v>
      </c>
      <c r="F28" s="40" t="s">
        <v>61</v>
      </c>
      <c r="G28" s="40" t="s">
        <v>128</v>
      </c>
      <c r="H28" s="40" t="s">
        <v>129</v>
      </c>
      <c r="I28" s="40" t="s">
        <v>68</v>
      </c>
      <c r="J28" s="40" t="s">
        <v>52</v>
      </c>
      <c r="K28" s="40" t="s">
        <v>52</v>
      </c>
      <c r="L28" s="40" t="s">
        <v>54</v>
      </c>
      <c r="M28" s="40" t="s">
        <v>53</v>
      </c>
      <c r="N28" s="40" t="s">
        <v>53</v>
      </c>
      <c r="O28" s="40" t="s">
        <v>53</v>
      </c>
      <c r="P28" s="40" t="s">
        <v>55</v>
      </c>
      <c r="Q28" s="40" t="s">
        <v>55</v>
      </c>
      <c r="R28" s="40" t="s">
        <v>55</v>
      </c>
      <c r="S28" s="40" t="s">
        <v>56</v>
      </c>
      <c r="T28" s="40" t="s">
        <v>55</v>
      </c>
      <c r="V28" s="4"/>
    </row>
    <row r="29" spans="1:22" s="40" customFormat="1" ht="43.5" x14ac:dyDescent="0.35">
      <c r="A29" s="101" t="s">
        <v>94</v>
      </c>
      <c r="B29" s="10" t="s">
        <v>95</v>
      </c>
      <c r="C29" s="10" t="s">
        <v>130</v>
      </c>
      <c r="D29" s="4" t="s">
        <v>131</v>
      </c>
      <c r="E29" s="40" t="s">
        <v>104</v>
      </c>
      <c r="F29" s="40" t="s">
        <v>49</v>
      </c>
      <c r="G29" s="40" t="s">
        <v>73</v>
      </c>
      <c r="H29" s="40" t="s">
        <v>62</v>
      </c>
      <c r="I29" s="40" t="s">
        <v>63</v>
      </c>
      <c r="J29" s="40" t="s">
        <v>52</v>
      </c>
      <c r="K29" s="40" t="s">
        <v>52</v>
      </c>
      <c r="L29" s="40" t="s">
        <v>54</v>
      </c>
      <c r="M29" s="40" t="s">
        <v>53</v>
      </c>
      <c r="N29" s="40" t="s">
        <v>53</v>
      </c>
      <c r="O29" s="40" t="s">
        <v>53</v>
      </c>
      <c r="P29" s="40" t="s">
        <v>55</v>
      </c>
      <c r="Q29" s="40" t="s">
        <v>55</v>
      </c>
      <c r="R29" s="40" t="s">
        <v>55</v>
      </c>
      <c r="S29" s="40" t="s">
        <v>56</v>
      </c>
      <c r="T29" s="40" t="s">
        <v>55</v>
      </c>
      <c r="V29" s="4"/>
    </row>
    <row r="30" spans="1:22" s="40" customFormat="1" ht="43.5" x14ac:dyDescent="0.35">
      <c r="A30" s="101" t="s">
        <v>94</v>
      </c>
      <c r="B30" s="10" t="s">
        <v>95</v>
      </c>
      <c r="C30" s="10" t="s">
        <v>132</v>
      </c>
      <c r="D30" s="4" t="s">
        <v>133</v>
      </c>
      <c r="E30" s="40" t="s">
        <v>104</v>
      </c>
      <c r="F30" s="40" t="s">
        <v>49</v>
      </c>
      <c r="G30" s="40" t="s">
        <v>62</v>
      </c>
      <c r="H30" s="40" t="s">
        <v>62</v>
      </c>
      <c r="I30" s="40" t="s">
        <v>63</v>
      </c>
      <c r="J30" s="40" t="s">
        <v>52</v>
      </c>
      <c r="K30" s="40" t="s">
        <v>52</v>
      </c>
      <c r="L30" s="40" t="s">
        <v>69</v>
      </c>
      <c r="M30" s="40" t="s">
        <v>53</v>
      </c>
      <c r="N30" s="40" t="s">
        <v>53</v>
      </c>
      <c r="O30" s="40" t="s">
        <v>53</v>
      </c>
      <c r="P30" s="40" t="s">
        <v>55</v>
      </c>
      <c r="Q30" s="40" t="s">
        <v>55</v>
      </c>
      <c r="R30" s="40" t="s">
        <v>56</v>
      </c>
      <c r="S30" s="40" t="s">
        <v>56</v>
      </c>
      <c r="T30" s="40" t="s">
        <v>56</v>
      </c>
      <c r="V30" s="4"/>
    </row>
    <row r="31" spans="1:22" s="40" customFormat="1" ht="29" x14ac:dyDescent="0.35">
      <c r="A31" s="111" t="s">
        <v>134</v>
      </c>
      <c r="B31" s="10" t="s">
        <v>135</v>
      </c>
      <c r="C31" s="10" t="s">
        <v>136</v>
      </c>
      <c r="D31" s="4" t="s">
        <v>137</v>
      </c>
      <c r="E31" s="4" t="s">
        <v>48</v>
      </c>
      <c r="F31" s="4" t="s">
        <v>138</v>
      </c>
      <c r="G31" s="4" t="s">
        <v>73</v>
      </c>
      <c r="H31" s="4" t="s">
        <v>139</v>
      </c>
      <c r="I31" s="4" t="s">
        <v>63</v>
      </c>
      <c r="J31" s="4" t="s">
        <v>63</v>
      </c>
      <c r="K31" s="4" t="s">
        <v>53</v>
      </c>
      <c r="L31" s="4" t="s">
        <v>54</v>
      </c>
      <c r="M31" s="4" t="s">
        <v>76</v>
      </c>
      <c r="N31" s="4" t="s">
        <v>53</v>
      </c>
      <c r="O31" s="4" t="s">
        <v>53</v>
      </c>
      <c r="P31" s="4"/>
      <c r="Q31" s="4" t="s">
        <v>56</v>
      </c>
      <c r="R31" s="4" t="s">
        <v>55</v>
      </c>
      <c r="S31" s="4" t="s">
        <v>55</v>
      </c>
      <c r="T31" s="4" t="s">
        <v>55</v>
      </c>
      <c r="U31" s="4"/>
      <c r="V31" s="4"/>
    </row>
    <row r="32" spans="1:22" s="40" customFormat="1" ht="43.5" x14ac:dyDescent="0.35">
      <c r="A32" s="111" t="s">
        <v>134</v>
      </c>
      <c r="B32" s="10" t="s">
        <v>135</v>
      </c>
      <c r="C32" s="10" t="s">
        <v>140</v>
      </c>
      <c r="D32" s="4" t="s">
        <v>141</v>
      </c>
      <c r="E32" s="40" t="s">
        <v>48</v>
      </c>
      <c r="F32" s="40" t="s">
        <v>138</v>
      </c>
      <c r="G32" s="40" t="s">
        <v>73</v>
      </c>
      <c r="I32" s="40" t="s">
        <v>63</v>
      </c>
      <c r="J32" s="40" t="s">
        <v>63</v>
      </c>
      <c r="K32" s="40" t="s">
        <v>53</v>
      </c>
      <c r="L32" s="40" t="s">
        <v>54</v>
      </c>
      <c r="M32" s="40" t="s">
        <v>76</v>
      </c>
      <c r="N32" s="40" t="s">
        <v>53</v>
      </c>
      <c r="O32" s="40" t="s">
        <v>53</v>
      </c>
      <c r="P32" s="40" t="s">
        <v>55</v>
      </c>
      <c r="Q32" s="40" t="s">
        <v>56</v>
      </c>
      <c r="R32" s="40" t="s">
        <v>56</v>
      </c>
      <c r="S32" s="40" t="s">
        <v>55</v>
      </c>
      <c r="T32" s="40" t="s">
        <v>55</v>
      </c>
      <c r="V32" s="4"/>
    </row>
    <row r="33" spans="1:22" s="40" customFormat="1" x14ac:dyDescent="0.35">
      <c r="A33" s="111" t="s">
        <v>134</v>
      </c>
      <c r="B33" s="10" t="s">
        <v>135</v>
      </c>
      <c r="C33" s="10" t="s">
        <v>142</v>
      </c>
      <c r="D33" s="4" t="s">
        <v>143</v>
      </c>
      <c r="E33" s="40" t="s">
        <v>60</v>
      </c>
      <c r="F33" s="40" t="s">
        <v>138</v>
      </c>
      <c r="G33" s="40" t="s">
        <v>73</v>
      </c>
      <c r="I33" s="40" t="s">
        <v>63</v>
      </c>
      <c r="J33" s="40" t="s">
        <v>63</v>
      </c>
      <c r="K33" s="40" t="s">
        <v>53</v>
      </c>
      <c r="L33" s="40" t="s">
        <v>54</v>
      </c>
      <c r="M33" s="40" t="s">
        <v>76</v>
      </c>
      <c r="N33" s="40" t="s">
        <v>53</v>
      </c>
      <c r="O33" s="40" t="s">
        <v>53</v>
      </c>
      <c r="P33" s="40" t="s">
        <v>55</v>
      </c>
      <c r="Q33" s="40" t="s">
        <v>56</v>
      </c>
      <c r="R33" s="40" t="s">
        <v>55</v>
      </c>
      <c r="S33" s="40" t="s">
        <v>55</v>
      </c>
      <c r="T33" s="40" t="s">
        <v>55</v>
      </c>
      <c r="V33" s="4"/>
    </row>
    <row r="34" spans="1:22" s="40" customFormat="1" x14ac:dyDescent="0.35">
      <c r="A34" s="111" t="s">
        <v>134</v>
      </c>
      <c r="B34" s="10" t="s">
        <v>135</v>
      </c>
      <c r="C34" s="10" t="s">
        <v>144</v>
      </c>
      <c r="D34" s="4" t="s">
        <v>145</v>
      </c>
      <c r="E34" s="40" t="s">
        <v>104</v>
      </c>
      <c r="F34" s="40" t="s">
        <v>138</v>
      </c>
      <c r="G34" s="40" t="s">
        <v>73</v>
      </c>
      <c r="I34" s="40" t="s">
        <v>52</v>
      </c>
      <c r="J34" s="40" t="s">
        <v>63</v>
      </c>
      <c r="K34" s="40" t="s">
        <v>53</v>
      </c>
      <c r="L34" s="40" t="s">
        <v>69</v>
      </c>
      <c r="M34" s="40" t="s">
        <v>76</v>
      </c>
      <c r="N34" s="40" t="s">
        <v>53</v>
      </c>
      <c r="O34" s="40" t="s">
        <v>53</v>
      </c>
      <c r="P34" s="40" t="s">
        <v>56</v>
      </c>
      <c r="Q34" s="40" t="s">
        <v>55</v>
      </c>
      <c r="R34" s="40" t="s">
        <v>55</v>
      </c>
      <c r="S34" s="40" t="s">
        <v>55</v>
      </c>
      <c r="T34" s="40" t="s">
        <v>56</v>
      </c>
      <c r="U34" s="40" t="s">
        <v>146</v>
      </c>
      <c r="V34" s="4"/>
    </row>
    <row r="35" spans="1:22" s="40" customFormat="1" ht="58" x14ac:dyDescent="0.35">
      <c r="A35" s="111" t="s">
        <v>134</v>
      </c>
      <c r="B35" s="10" t="s">
        <v>135</v>
      </c>
      <c r="C35" s="10" t="s">
        <v>147</v>
      </c>
      <c r="D35" s="4" t="s">
        <v>148</v>
      </c>
      <c r="E35" s="40" t="s">
        <v>104</v>
      </c>
      <c r="F35" s="40" t="s">
        <v>138</v>
      </c>
      <c r="G35" s="40" t="s">
        <v>73</v>
      </c>
      <c r="I35" s="40" t="s">
        <v>52</v>
      </c>
      <c r="J35" s="40" t="s">
        <v>63</v>
      </c>
      <c r="K35" s="40" t="s">
        <v>53</v>
      </c>
      <c r="L35" s="40" t="s">
        <v>69</v>
      </c>
      <c r="M35" s="40" t="s">
        <v>76</v>
      </c>
      <c r="N35" s="40" t="s">
        <v>53</v>
      </c>
      <c r="O35" s="40" t="s">
        <v>53</v>
      </c>
      <c r="P35" s="40" t="s">
        <v>56</v>
      </c>
      <c r="Q35" s="40" t="s">
        <v>55</v>
      </c>
      <c r="R35" s="40" t="s">
        <v>55</v>
      </c>
      <c r="S35" s="40" t="s">
        <v>55</v>
      </c>
      <c r="T35" s="40" t="s">
        <v>56</v>
      </c>
      <c r="U35" s="40" t="s">
        <v>146</v>
      </c>
      <c r="V35" s="4"/>
    </row>
    <row r="36" spans="1:22" s="40" customFormat="1" ht="72.5" x14ac:dyDescent="0.35">
      <c r="A36" s="111" t="s">
        <v>134</v>
      </c>
      <c r="B36" s="10" t="s">
        <v>135</v>
      </c>
      <c r="C36" s="10" t="s">
        <v>149</v>
      </c>
      <c r="D36" s="4" t="s">
        <v>150</v>
      </c>
      <c r="E36" s="40" t="s">
        <v>151</v>
      </c>
      <c r="F36" s="40" t="s">
        <v>61</v>
      </c>
      <c r="G36" s="40" t="s">
        <v>62</v>
      </c>
      <c r="H36" s="40" t="s">
        <v>139</v>
      </c>
      <c r="I36" s="40" t="s">
        <v>63</v>
      </c>
      <c r="J36" s="40" t="s">
        <v>53</v>
      </c>
      <c r="K36" s="40" t="s">
        <v>53</v>
      </c>
      <c r="L36" s="40" t="s">
        <v>54</v>
      </c>
      <c r="M36" s="40" t="s">
        <v>76</v>
      </c>
      <c r="N36" s="40" t="s">
        <v>53</v>
      </c>
      <c r="O36" s="40" t="s">
        <v>53</v>
      </c>
      <c r="P36" s="40" t="s">
        <v>55</v>
      </c>
      <c r="Q36" s="40" t="s">
        <v>56</v>
      </c>
      <c r="R36" s="40" t="s">
        <v>55</v>
      </c>
      <c r="S36" s="40" t="s">
        <v>55</v>
      </c>
      <c r="T36" s="40" t="s">
        <v>55</v>
      </c>
      <c r="V36" s="4"/>
    </row>
    <row r="37" spans="1:22" s="40" customFormat="1" ht="29" x14ac:dyDescent="0.35">
      <c r="A37" s="97" t="s">
        <v>152</v>
      </c>
      <c r="B37" s="10" t="s">
        <v>153</v>
      </c>
      <c r="C37" s="10" t="s">
        <v>154</v>
      </c>
      <c r="D37" s="4" t="s">
        <v>155</v>
      </c>
      <c r="E37" s="4" t="s">
        <v>104</v>
      </c>
      <c r="F37" s="4" t="s">
        <v>61</v>
      </c>
      <c r="G37" s="9" t="s">
        <v>62</v>
      </c>
      <c r="H37" s="9" t="s">
        <v>62</v>
      </c>
      <c r="I37" s="9" t="s">
        <v>79</v>
      </c>
      <c r="J37" s="9" t="s">
        <v>53</v>
      </c>
      <c r="K37" s="9" t="s">
        <v>53</v>
      </c>
      <c r="L37" s="9" t="s">
        <v>54</v>
      </c>
      <c r="M37" s="9" t="s">
        <v>76</v>
      </c>
      <c r="N37" s="9" t="s">
        <v>76</v>
      </c>
      <c r="O37" s="9" t="s">
        <v>63</v>
      </c>
      <c r="P37" s="9" t="s">
        <v>56</v>
      </c>
      <c r="Q37" s="9" t="s">
        <v>55</v>
      </c>
      <c r="R37" s="9" t="s">
        <v>56</v>
      </c>
      <c r="S37" s="9" t="s">
        <v>55</v>
      </c>
      <c r="T37" s="9" t="s">
        <v>55</v>
      </c>
      <c r="U37" s="4" t="s">
        <v>156</v>
      </c>
      <c r="V37" s="4" t="s">
        <v>157</v>
      </c>
    </row>
    <row r="38" spans="1:22" s="40" customFormat="1" ht="45" customHeight="1" x14ac:dyDescent="0.35">
      <c r="A38" s="97" t="s">
        <v>152</v>
      </c>
      <c r="B38" s="10" t="s">
        <v>153</v>
      </c>
      <c r="C38" s="10" t="s">
        <v>158</v>
      </c>
      <c r="D38" s="4" t="s">
        <v>159</v>
      </c>
      <c r="E38" s="4" t="s">
        <v>48</v>
      </c>
      <c r="F38" s="4" t="s">
        <v>61</v>
      </c>
      <c r="G38" s="9" t="s">
        <v>50</v>
      </c>
      <c r="H38" s="9" t="s">
        <v>160</v>
      </c>
      <c r="I38" s="9" t="s">
        <v>79</v>
      </c>
      <c r="J38" s="9" t="s">
        <v>52</v>
      </c>
      <c r="K38" s="9" t="s">
        <v>52</v>
      </c>
      <c r="L38" s="9" t="s">
        <v>110</v>
      </c>
      <c r="M38" s="9" t="s">
        <v>76</v>
      </c>
      <c r="N38" s="9" t="s">
        <v>76</v>
      </c>
      <c r="O38" s="9" t="s">
        <v>52</v>
      </c>
      <c r="P38" s="9"/>
      <c r="Q38" s="9" t="s">
        <v>56</v>
      </c>
      <c r="R38" s="9" t="s">
        <v>56</v>
      </c>
      <c r="S38" s="9" t="s">
        <v>55</v>
      </c>
      <c r="T38" s="9" t="s">
        <v>55</v>
      </c>
      <c r="U38" s="4"/>
      <c r="V38" s="4"/>
    </row>
    <row r="39" spans="1:22" s="40" customFormat="1" ht="58" x14ac:dyDescent="0.35">
      <c r="A39" s="97" t="s">
        <v>152</v>
      </c>
      <c r="B39" s="10" t="s">
        <v>153</v>
      </c>
      <c r="C39" s="10" t="s">
        <v>161</v>
      </c>
      <c r="D39" s="4" t="s">
        <v>162</v>
      </c>
      <c r="E39" s="4" t="s">
        <v>104</v>
      </c>
      <c r="F39" s="4" t="s">
        <v>61</v>
      </c>
      <c r="G39" s="9" t="s">
        <v>74</v>
      </c>
      <c r="H39" s="9" t="s">
        <v>74</v>
      </c>
      <c r="I39" s="9" t="s">
        <v>63</v>
      </c>
      <c r="J39" s="9" t="s">
        <v>52</v>
      </c>
      <c r="K39" s="9" t="s">
        <v>79</v>
      </c>
      <c r="L39" s="9" t="s">
        <v>69</v>
      </c>
      <c r="M39" s="9" t="s">
        <v>75</v>
      </c>
      <c r="N39" s="9" t="s">
        <v>75</v>
      </c>
      <c r="O39" s="9" t="s">
        <v>79</v>
      </c>
      <c r="P39" s="9"/>
      <c r="Q39" s="9" t="s">
        <v>56</v>
      </c>
      <c r="R39" s="9" t="s">
        <v>56</v>
      </c>
      <c r="S39" s="9" t="s">
        <v>56</v>
      </c>
      <c r="T39" s="9" t="s">
        <v>56</v>
      </c>
      <c r="U39" s="4"/>
      <c r="V39" s="4" t="s">
        <v>163</v>
      </c>
    </row>
    <row r="40" spans="1:22" s="40" customFormat="1" ht="29" x14ac:dyDescent="0.35">
      <c r="A40" s="97" t="s">
        <v>152</v>
      </c>
      <c r="B40" s="10" t="s">
        <v>153</v>
      </c>
      <c r="C40" s="10" t="s">
        <v>164</v>
      </c>
      <c r="D40" s="4" t="s">
        <v>165</v>
      </c>
      <c r="E40" s="4" t="s">
        <v>48</v>
      </c>
      <c r="F40" s="4" t="s">
        <v>49</v>
      </c>
      <c r="G40" s="40" t="s">
        <v>62</v>
      </c>
      <c r="H40" s="40" t="s">
        <v>62</v>
      </c>
      <c r="I40" s="40" t="s">
        <v>79</v>
      </c>
      <c r="J40" s="40" t="s">
        <v>79</v>
      </c>
      <c r="K40" s="40" t="s">
        <v>52</v>
      </c>
      <c r="L40" s="40" t="s">
        <v>110</v>
      </c>
      <c r="M40" s="40" t="s">
        <v>75</v>
      </c>
      <c r="N40" s="40" t="s">
        <v>75</v>
      </c>
      <c r="O40" s="40" t="s">
        <v>79</v>
      </c>
      <c r="P40" s="40" t="s">
        <v>56</v>
      </c>
      <c r="Q40" s="40" t="s">
        <v>56</v>
      </c>
      <c r="R40" s="40" t="s">
        <v>56</v>
      </c>
      <c r="S40" s="40" t="s">
        <v>55</v>
      </c>
      <c r="T40" s="40" t="s">
        <v>55</v>
      </c>
      <c r="U40" s="4" t="s">
        <v>166</v>
      </c>
      <c r="V40" s="4"/>
    </row>
    <row r="41" spans="1:22" s="40" customFormat="1" ht="29" x14ac:dyDescent="0.35">
      <c r="A41" s="97" t="s">
        <v>152</v>
      </c>
      <c r="B41" s="10" t="s">
        <v>153</v>
      </c>
      <c r="C41" s="10" t="s">
        <v>167</v>
      </c>
      <c r="D41" s="4" t="s">
        <v>168</v>
      </c>
      <c r="E41" s="4" t="s">
        <v>60</v>
      </c>
      <c r="F41" s="4" t="s">
        <v>49</v>
      </c>
      <c r="G41" s="40" t="s">
        <v>62</v>
      </c>
      <c r="H41" s="40" t="s">
        <v>62</v>
      </c>
      <c r="I41" s="40" t="s">
        <v>79</v>
      </c>
      <c r="J41" s="40" t="s">
        <v>53</v>
      </c>
      <c r="K41" s="40" t="s">
        <v>53</v>
      </c>
      <c r="L41" s="40" t="s">
        <v>110</v>
      </c>
      <c r="M41" s="40" t="s">
        <v>53</v>
      </c>
      <c r="N41" s="40" t="s">
        <v>75</v>
      </c>
      <c r="O41" s="40" t="s">
        <v>79</v>
      </c>
      <c r="P41" s="40" t="s">
        <v>56</v>
      </c>
      <c r="Q41" s="40" t="s">
        <v>55</v>
      </c>
      <c r="R41" s="40" t="s">
        <v>55</v>
      </c>
      <c r="S41" s="40" t="s">
        <v>55</v>
      </c>
      <c r="T41" s="40" t="s">
        <v>55</v>
      </c>
      <c r="U41" s="4"/>
      <c r="V41" s="4"/>
    </row>
    <row r="42" spans="1:22" s="40" customFormat="1" ht="58" x14ac:dyDescent="0.35">
      <c r="A42" s="102" t="s">
        <v>169</v>
      </c>
      <c r="B42" s="10" t="s">
        <v>92</v>
      </c>
      <c r="C42" s="10" t="s">
        <v>170</v>
      </c>
      <c r="D42" s="4" t="s">
        <v>171</v>
      </c>
      <c r="E42" s="4" t="s">
        <v>104</v>
      </c>
      <c r="F42" s="4" t="s">
        <v>61</v>
      </c>
      <c r="G42" s="4" t="s">
        <v>50</v>
      </c>
      <c r="H42" s="4" t="s">
        <v>160</v>
      </c>
      <c r="I42" s="4" t="s">
        <v>52</v>
      </c>
      <c r="J42" s="4" t="s">
        <v>52</v>
      </c>
      <c r="K42" s="4" t="s">
        <v>63</v>
      </c>
      <c r="L42" s="4" t="s">
        <v>110</v>
      </c>
      <c r="M42" s="4" t="s">
        <v>75</v>
      </c>
      <c r="N42" s="4" t="s">
        <v>91</v>
      </c>
      <c r="O42" s="4" t="s">
        <v>52</v>
      </c>
      <c r="P42" s="4" t="s">
        <v>56</v>
      </c>
      <c r="Q42" s="4" t="s">
        <v>56</v>
      </c>
      <c r="R42" s="4" t="s">
        <v>55</v>
      </c>
      <c r="S42" s="4" t="s">
        <v>55</v>
      </c>
      <c r="T42" s="4" t="s">
        <v>55</v>
      </c>
      <c r="U42" s="4" t="s">
        <v>172</v>
      </c>
      <c r="V42" s="4" t="s">
        <v>173</v>
      </c>
    </row>
    <row r="43" spans="1:22" s="40" customFormat="1" ht="101.5" x14ac:dyDescent="0.35">
      <c r="A43" s="108" t="s">
        <v>174</v>
      </c>
      <c r="B43" s="10" t="s">
        <v>92</v>
      </c>
      <c r="C43" s="10" t="s">
        <v>175</v>
      </c>
      <c r="D43" s="9" t="s">
        <v>176</v>
      </c>
      <c r="E43" s="40" t="s">
        <v>87</v>
      </c>
      <c r="F43" s="40" t="s">
        <v>61</v>
      </c>
      <c r="G43" s="40" t="s">
        <v>62</v>
      </c>
      <c r="H43" s="40" t="s">
        <v>177</v>
      </c>
      <c r="I43" s="40" t="s">
        <v>52</v>
      </c>
      <c r="J43" s="40" t="s">
        <v>52</v>
      </c>
      <c r="K43" s="40" t="s">
        <v>63</v>
      </c>
      <c r="L43" s="40" t="s">
        <v>110</v>
      </c>
      <c r="M43" s="40" t="s">
        <v>75</v>
      </c>
      <c r="N43" s="40" t="s">
        <v>75</v>
      </c>
      <c r="O43" s="40" t="s">
        <v>52</v>
      </c>
      <c r="P43" s="40" t="s">
        <v>56</v>
      </c>
      <c r="Q43" s="40" t="s">
        <v>56</v>
      </c>
      <c r="R43" s="40" t="s">
        <v>55</v>
      </c>
      <c r="S43" s="40" t="s">
        <v>55</v>
      </c>
      <c r="T43" s="40" t="s">
        <v>56</v>
      </c>
      <c r="U43" s="4" t="s">
        <v>178</v>
      </c>
      <c r="V43" s="4" t="s">
        <v>179</v>
      </c>
    </row>
    <row r="44" spans="1:22" s="40" customFormat="1" ht="29" x14ac:dyDescent="0.35">
      <c r="A44" s="102" t="s">
        <v>180</v>
      </c>
      <c r="B44" s="10" t="s">
        <v>92</v>
      </c>
      <c r="C44" s="10" t="s">
        <v>181</v>
      </c>
      <c r="D44" s="4" t="s">
        <v>182</v>
      </c>
      <c r="E44" s="40" t="s">
        <v>104</v>
      </c>
      <c r="F44" s="40" t="s">
        <v>61</v>
      </c>
      <c r="G44" s="40" t="s">
        <v>183</v>
      </c>
      <c r="H44" s="40" t="s">
        <v>160</v>
      </c>
      <c r="I44" s="40" t="s">
        <v>52</v>
      </c>
      <c r="J44" s="40" t="s">
        <v>52</v>
      </c>
      <c r="K44" s="40" t="s">
        <v>63</v>
      </c>
      <c r="L44" s="40" t="s">
        <v>110</v>
      </c>
      <c r="M44" s="40" t="s">
        <v>76</v>
      </c>
      <c r="N44" s="40" t="s">
        <v>91</v>
      </c>
      <c r="O44" s="40" t="s">
        <v>52</v>
      </c>
      <c r="P44" s="40" t="s">
        <v>56</v>
      </c>
      <c r="Q44" s="40" t="s">
        <v>55</v>
      </c>
      <c r="R44" s="40" t="s">
        <v>55</v>
      </c>
      <c r="S44" s="40" t="s">
        <v>55</v>
      </c>
      <c r="T44" s="40" t="s">
        <v>56</v>
      </c>
      <c r="V44" s="4"/>
    </row>
    <row r="45" spans="1:22" s="40" customFormat="1" ht="29" x14ac:dyDescent="0.35">
      <c r="A45" s="102" t="s">
        <v>180</v>
      </c>
      <c r="B45" s="10" t="s">
        <v>92</v>
      </c>
      <c r="C45" s="10" t="s">
        <v>184</v>
      </c>
      <c r="D45" s="4" t="s">
        <v>185</v>
      </c>
      <c r="E45" s="40" t="s">
        <v>104</v>
      </c>
      <c r="F45" s="40" t="s">
        <v>61</v>
      </c>
      <c r="G45" s="40" t="s">
        <v>98</v>
      </c>
      <c r="H45" s="40" t="s">
        <v>160</v>
      </c>
      <c r="I45" s="40" t="s">
        <v>52</v>
      </c>
      <c r="J45" s="40" t="s">
        <v>52</v>
      </c>
      <c r="K45" s="40" t="s">
        <v>63</v>
      </c>
      <c r="L45" s="40" t="s">
        <v>110</v>
      </c>
      <c r="M45" s="40" t="s">
        <v>76</v>
      </c>
      <c r="N45" s="40" t="s">
        <v>91</v>
      </c>
      <c r="O45" s="40" t="s">
        <v>52</v>
      </c>
      <c r="P45" s="40" t="s">
        <v>56</v>
      </c>
      <c r="Q45" s="40" t="s">
        <v>55</v>
      </c>
      <c r="R45" s="40" t="s">
        <v>55</v>
      </c>
      <c r="S45" s="40" t="s">
        <v>55</v>
      </c>
      <c r="T45" s="40" t="s">
        <v>56</v>
      </c>
      <c r="V45" s="4"/>
    </row>
    <row r="46" spans="1:22" s="40" customFormat="1" ht="45" customHeight="1" x14ac:dyDescent="0.35">
      <c r="A46" s="102" t="s">
        <v>44</v>
      </c>
      <c r="B46" s="10" t="s">
        <v>92</v>
      </c>
      <c r="C46" s="10" t="s">
        <v>186</v>
      </c>
      <c r="D46" s="4" t="s">
        <v>187</v>
      </c>
      <c r="E46" s="40" t="s">
        <v>60</v>
      </c>
      <c r="F46" s="40" t="s">
        <v>61</v>
      </c>
      <c r="G46" s="40" t="s">
        <v>62</v>
      </c>
      <c r="H46" s="40" t="s">
        <v>160</v>
      </c>
      <c r="I46" s="40" t="s">
        <v>63</v>
      </c>
      <c r="J46" s="40" t="s">
        <v>53</v>
      </c>
      <c r="K46" s="40" t="s">
        <v>53</v>
      </c>
      <c r="L46" s="40" t="s">
        <v>69</v>
      </c>
      <c r="M46" s="40" t="s">
        <v>76</v>
      </c>
      <c r="N46" s="40" t="s">
        <v>91</v>
      </c>
      <c r="O46" s="40" t="s">
        <v>52</v>
      </c>
      <c r="P46" s="40" t="s">
        <v>56</v>
      </c>
      <c r="Q46" s="40" t="s">
        <v>56</v>
      </c>
      <c r="R46" s="40" t="s">
        <v>55</v>
      </c>
      <c r="S46" s="40" t="s">
        <v>55</v>
      </c>
      <c r="T46" s="40" t="s">
        <v>56</v>
      </c>
      <c r="U46" s="40" t="s">
        <v>188</v>
      </c>
      <c r="V46" s="4"/>
    </row>
    <row r="47" spans="1:22" s="40" customFormat="1" ht="75" customHeight="1" x14ac:dyDescent="0.35">
      <c r="A47" s="102" t="s">
        <v>44</v>
      </c>
      <c r="B47" s="10" t="s">
        <v>92</v>
      </c>
      <c r="C47" s="10" t="s">
        <v>189</v>
      </c>
      <c r="D47" s="4" t="s">
        <v>190</v>
      </c>
      <c r="E47" s="40" t="s">
        <v>104</v>
      </c>
      <c r="F47" s="40" t="s">
        <v>61</v>
      </c>
      <c r="G47" s="40" t="s">
        <v>62</v>
      </c>
      <c r="H47" s="40" t="s">
        <v>177</v>
      </c>
      <c r="I47" s="40" t="s">
        <v>79</v>
      </c>
      <c r="J47" s="40" t="s">
        <v>52</v>
      </c>
      <c r="K47" s="40" t="s">
        <v>53</v>
      </c>
      <c r="L47" s="40" t="s">
        <v>69</v>
      </c>
      <c r="M47" s="40" t="s">
        <v>75</v>
      </c>
      <c r="N47" s="40" t="s">
        <v>91</v>
      </c>
      <c r="O47" s="40" t="s">
        <v>52</v>
      </c>
      <c r="P47" s="40" t="s">
        <v>56</v>
      </c>
      <c r="Q47" s="40" t="s">
        <v>55</v>
      </c>
      <c r="R47" s="40" t="s">
        <v>55</v>
      </c>
      <c r="S47" s="40" t="s">
        <v>55</v>
      </c>
      <c r="T47" s="40" t="s">
        <v>56</v>
      </c>
      <c r="U47" s="40" t="s">
        <v>191</v>
      </c>
      <c r="V47" s="4" t="s">
        <v>192</v>
      </c>
    </row>
    <row r="48" spans="1:22" s="40" customFormat="1" ht="29" x14ac:dyDescent="0.35">
      <c r="A48" s="102" t="s">
        <v>44</v>
      </c>
      <c r="B48" s="10" t="s">
        <v>92</v>
      </c>
      <c r="C48" s="10" t="s">
        <v>193</v>
      </c>
      <c r="D48" s="4" t="s">
        <v>194</v>
      </c>
      <c r="E48" s="40" t="s">
        <v>104</v>
      </c>
      <c r="F48" s="40" t="s">
        <v>61</v>
      </c>
      <c r="G48" s="40" t="s">
        <v>62</v>
      </c>
      <c r="H48" s="40" t="s">
        <v>177</v>
      </c>
      <c r="I48" s="40" t="s">
        <v>63</v>
      </c>
      <c r="J48" s="40" t="s">
        <v>53</v>
      </c>
      <c r="K48" s="40" t="s">
        <v>53</v>
      </c>
      <c r="L48" s="40" t="s">
        <v>54</v>
      </c>
      <c r="M48" s="40" t="s">
        <v>76</v>
      </c>
      <c r="N48" s="40" t="s">
        <v>76</v>
      </c>
      <c r="O48" s="40" t="s">
        <v>63</v>
      </c>
      <c r="P48" s="40" t="s">
        <v>56</v>
      </c>
      <c r="Q48" s="40" t="s">
        <v>55</v>
      </c>
      <c r="R48" s="40" t="s">
        <v>55</v>
      </c>
      <c r="S48" s="40" t="s">
        <v>55</v>
      </c>
      <c r="T48" s="40" t="s">
        <v>55</v>
      </c>
      <c r="U48" s="40" t="s">
        <v>83</v>
      </c>
      <c r="V48" s="4"/>
    </row>
    <row r="49" spans="1:22" s="40" customFormat="1" ht="43.5" x14ac:dyDescent="0.35">
      <c r="A49" s="102" t="s">
        <v>195</v>
      </c>
      <c r="B49" s="10" t="s">
        <v>92</v>
      </c>
      <c r="C49" s="10" t="s">
        <v>196</v>
      </c>
      <c r="D49" s="4" t="s">
        <v>197</v>
      </c>
      <c r="E49" s="40" t="s">
        <v>48</v>
      </c>
      <c r="F49" s="40" t="s">
        <v>198</v>
      </c>
      <c r="G49" s="40" t="s">
        <v>183</v>
      </c>
      <c r="H49" s="40" t="s">
        <v>51</v>
      </c>
      <c r="I49" s="40" t="s">
        <v>63</v>
      </c>
      <c r="J49" s="40" t="s">
        <v>52</v>
      </c>
      <c r="K49" s="40" t="s">
        <v>53</v>
      </c>
      <c r="L49" s="40" t="s">
        <v>54</v>
      </c>
      <c r="M49" s="40" t="s">
        <v>75</v>
      </c>
      <c r="N49" s="40" t="s">
        <v>53</v>
      </c>
      <c r="O49" s="40" t="s">
        <v>53</v>
      </c>
      <c r="P49" s="40" t="s">
        <v>56</v>
      </c>
      <c r="Q49" s="40" t="s">
        <v>56</v>
      </c>
      <c r="R49" s="40" t="s">
        <v>55</v>
      </c>
      <c r="S49" s="40" t="s">
        <v>55</v>
      </c>
      <c r="T49" s="40" t="s">
        <v>55</v>
      </c>
      <c r="U49" s="40" t="s">
        <v>199</v>
      </c>
      <c r="V49" s="4" t="s">
        <v>200</v>
      </c>
    </row>
    <row r="50" spans="1:22" s="40" customFormat="1" ht="120" customHeight="1" x14ac:dyDescent="0.35">
      <c r="A50" s="102" t="s">
        <v>44</v>
      </c>
      <c r="B50" s="10" t="s">
        <v>92</v>
      </c>
      <c r="C50" s="10" t="s">
        <v>201</v>
      </c>
      <c r="D50" s="4" t="s">
        <v>202</v>
      </c>
      <c r="E50" s="40" t="s">
        <v>104</v>
      </c>
      <c r="F50" s="40" t="s">
        <v>61</v>
      </c>
      <c r="G50" s="40" t="s">
        <v>62</v>
      </c>
      <c r="H50" s="40" t="s">
        <v>62</v>
      </c>
      <c r="I50" s="40" t="s">
        <v>63</v>
      </c>
      <c r="J50" s="40" t="s">
        <v>52</v>
      </c>
      <c r="K50" s="40" t="s">
        <v>53</v>
      </c>
      <c r="L50" s="40" t="s">
        <v>54</v>
      </c>
      <c r="M50" s="40" t="s">
        <v>76</v>
      </c>
      <c r="N50" s="40" t="s">
        <v>75</v>
      </c>
      <c r="O50" s="40" t="s">
        <v>63</v>
      </c>
      <c r="P50" s="40" t="s">
        <v>56</v>
      </c>
      <c r="Q50" s="40" t="s">
        <v>55</v>
      </c>
      <c r="R50" s="40" t="s">
        <v>56</v>
      </c>
      <c r="S50" s="40" t="s">
        <v>55</v>
      </c>
      <c r="T50" s="40" t="s">
        <v>55</v>
      </c>
      <c r="V50" s="4" t="s">
        <v>203</v>
      </c>
    </row>
    <row r="51" spans="1:22" s="40" customFormat="1" ht="75" customHeight="1" x14ac:dyDescent="0.35">
      <c r="A51" s="102" t="s">
        <v>44</v>
      </c>
      <c r="B51" s="10" t="s">
        <v>92</v>
      </c>
      <c r="C51" s="10" t="s">
        <v>204</v>
      </c>
      <c r="D51" s="4" t="s">
        <v>205</v>
      </c>
      <c r="E51" s="40" t="s">
        <v>104</v>
      </c>
      <c r="F51" s="40" t="s">
        <v>138</v>
      </c>
      <c r="G51" s="40" t="s">
        <v>128</v>
      </c>
      <c r="H51" s="40" t="s">
        <v>160</v>
      </c>
      <c r="V51" s="4"/>
    </row>
    <row r="52" spans="1:22" s="40" customFormat="1" ht="60" customHeight="1" x14ac:dyDescent="0.35">
      <c r="A52" s="102" t="s">
        <v>44</v>
      </c>
      <c r="B52" s="10" t="s">
        <v>92</v>
      </c>
      <c r="C52" s="10" t="s">
        <v>206</v>
      </c>
      <c r="D52" s="4" t="s">
        <v>207</v>
      </c>
      <c r="E52" s="40" t="s">
        <v>104</v>
      </c>
      <c r="F52" s="40" t="s">
        <v>61</v>
      </c>
      <c r="G52" s="40" t="s">
        <v>50</v>
      </c>
      <c r="H52" s="40" t="s">
        <v>160</v>
      </c>
      <c r="V52" s="4"/>
    </row>
    <row r="53" spans="1:22" s="40" customFormat="1" ht="60" customHeight="1" x14ac:dyDescent="0.35">
      <c r="A53" s="102" t="s">
        <v>208</v>
      </c>
      <c r="B53" s="10" t="s">
        <v>92</v>
      </c>
      <c r="C53" s="10" t="s">
        <v>209</v>
      </c>
      <c r="D53" s="9" t="s">
        <v>210</v>
      </c>
      <c r="E53" s="40" t="s">
        <v>48</v>
      </c>
      <c r="F53" s="40" t="s">
        <v>49</v>
      </c>
      <c r="G53" s="40" t="s">
        <v>74</v>
      </c>
      <c r="H53" s="40" t="s">
        <v>160</v>
      </c>
      <c r="I53" s="40" t="s">
        <v>63</v>
      </c>
      <c r="J53" s="40" t="s">
        <v>53</v>
      </c>
      <c r="K53" s="40" t="s">
        <v>53</v>
      </c>
      <c r="L53" s="40" t="s">
        <v>54</v>
      </c>
      <c r="M53" s="40" t="s">
        <v>53</v>
      </c>
      <c r="N53" s="40" t="s">
        <v>53</v>
      </c>
      <c r="O53" s="40" t="s">
        <v>53</v>
      </c>
      <c r="P53" s="40" t="s">
        <v>55</v>
      </c>
      <c r="Q53" s="40" t="s">
        <v>56</v>
      </c>
      <c r="R53" s="40" t="s">
        <v>55</v>
      </c>
      <c r="S53" s="40" t="s">
        <v>55</v>
      </c>
      <c r="T53" s="40" t="s">
        <v>55</v>
      </c>
      <c r="V53" s="4"/>
    </row>
    <row r="54" spans="1:22" s="40" customFormat="1" ht="30.75" customHeight="1" x14ac:dyDescent="0.35">
      <c r="A54" s="102" t="s">
        <v>208</v>
      </c>
      <c r="B54" s="10" t="s">
        <v>92</v>
      </c>
      <c r="C54" s="10" t="s">
        <v>211</v>
      </c>
      <c r="D54" s="9" t="s">
        <v>212</v>
      </c>
      <c r="E54" s="40" t="s">
        <v>48</v>
      </c>
      <c r="F54" s="40" t="s">
        <v>61</v>
      </c>
      <c r="G54" s="40" t="s">
        <v>74</v>
      </c>
      <c r="H54" s="40" t="s">
        <v>160</v>
      </c>
      <c r="I54" s="40" t="s">
        <v>63</v>
      </c>
      <c r="J54" s="40" t="s">
        <v>53</v>
      </c>
      <c r="K54" s="40" t="s">
        <v>53</v>
      </c>
      <c r="L54" s="40" t="s">
        <v>54</v>
      </c>
      <c r="M54" s="40" t="s">
        <v>53</v>
      </c>
      <c r="N54" s="40" t="s">
        <v>53</v>
      </c>
      <c r="O54" s="40" t="s">
        <v>53</v>
      </c>
      <c r="P54" s="40" t="s">
        <v>55</v>
      </c>
      <c r="Q54" s="40" t="s">
        <v>56</v>
      </c>
      <c r="R54" s="40" t="s">
        <v>55</v>
      </c>
      <c r="S54" s="40" t="s">
        <v>55</v>
      </c>
      <c r="T54" s="40" t="s">
        <v>55</v>
      </c>
      <c r="V54" s="4"/>
    </row>
    <row r="55" spans="1:22" s="40" customFormat="1" ht="30" customHeight="1" x14ac:dyDescent="0.35">
      <c r="A55" s="102" t="s">
        <v>208</v>
      </c>
      <c r="B55" s="10" t="s">
        <v>92</v>
      </c>
      <c r="C55" s="10" t="s">
        <v>213</v>
      </c>
      <c r="D55" s="9" t="s">
        <v>214</v>
      </c>
      <c r="E55" s="40" t="s">
        <v>48</v>
      </c>
      <c r="F55" s="40" t="s">
        <v>61</v>
      </c>
      <c r="G55" s="40" t="s">
        <v>74</v>
      </c>
      <c r="H55" s="40" t="s">
        <v>160</v>
      </c>
      <c r="I55" s="40" t="s">
        <v>63</v>
      </c>
      <c r="J55" s="40" t="s">
        <v>53</v>
      </c>
      <c r="K55" s="40" t="s">
        <v>53</v>
      </c>
      <c r="L55" s="40" t="s">
        <v>54</v>
      </c>
      <c r="M55" s="40" t="s">
        <v>53</v>
      </c>
      <c r="N55" s="40" t="s">
        <v>53</v>
      </c>
      <c r="O55" s="40" t="s">
        <v>53</v>
      </c>
      <c r="P55" s="40" t="s">
        <v>55</v>
      </c>
      <c r="Q55" s="40" t="s">
        <v>56</v>
      </c>
      <c r="R55" s="40" t="s">
        <v>55</v>
      </c>
      <c r="S55" s="40" t="s">
        <v>55</v>
      </c>
      <c r="T55" s="40" t="s">
        <v>55</v>
      </c>
      <c r="V55" s="4"/>
    </row>
    <row r="56" spans="1:22" s="40" customFormat="1" ht="75" customHeight="1" x14ac:dyDescent="0.35">
      <c r="A56" s="102" t="s">
        <v>208</v>
      </c>
      <c r="B56" s="10" t="s">
        <v>92</v>
      </c>
      <c r="C56" s="10" t="s">
        <v>215</v>
      </c>
      <c r="D56" s="9" t="s">
        <v>216</v>
      </c>
      <c r="E56" s="40" t="s">
        <v>151</v>
      </c>
      <c r="F56" s="40" t="s">
        <v>61</v>
      </c>
      <c r="G56" s="40" t="s">
        <v>74</v>
      </c>
      <c r="H56" s="40" t="s">
        <v>160</v>
      </c>
      <c r="I56" s="40" t="s">
        <v>52</v>
      </c>
      <c r="J56" s="40" t="s">
        <v>53</v>
      </c>
      <c r="K56" s="40" t="s">
        <v>53</v>
      </c>
      <c r="L56" s="40" t="s">
        <v>69</v>
      </c>
      <c r="M56" s="40" t="s">
        <v>53</v>
      </c>
      <c r="N56" s="40" t="s">
        <v>76</v>
      </c>
      <c r="O56" s="40" t="s">
        <v>53</v>
      </c>
      <c r="P56" s="40" t="s">
        <v>55</v>
      </c>
      <c r="Q56" s="40" t="s">
        <v>55</v>
      </c>
      <c r="R56" s="40" t="s">
        <v>55</v>
      </c>
      <c r="S56" s="40" t="s">
        <v>55</v>
      </c>
      <c r="T56" s="40" t="s">
        <v>55</v>
      </c>
      <c r="V56" s="4"/>
    </row>
    <row r="57" spans="1:22" s="40" customFormat="1" ht="15" customHeight="1" x14ac:dyDescent="0.35">
      <c r="A57" s="102" t="s">
        <v>208</v>
      </c>
      <c r="B57" s="10" t="s">
        <v>92</v>
      </c>
      <c r="C57" s="10" t="s">
        <v>217</v>
      </c>
      <c r="D57" s="9" t="s">
        <v>218</v>
      </c>
      <c r="E57" s="40" t="s">
        <v>151</v>
      </c>
      <c r="F57" s="40" t="s">
        <v>219</v>
      </c>
      <c r="G57" s="40" t="s">
        <v>128</v>
      </c>
      <c r="H57" s="40" t="s">
        <v>177</v>
      </c>
      <c r="I57" s="40" t="s">
        <v>52</v>
      </c>
      <c r="J57" s="40" t="s">
        <v>53</v>
      </c>
      <c r="K57" s="40" t="s">
        <v>53</v>
      </c>
      <c r="L57" s="40" t="s">
        <v>69</v>
      </c>
      <c r="M57" s="40" t="s">
        <v>53</v>
      </c>
      <c r="N57" s="40" t="s">
        <v>53</v>
      </c>
      <c r="O57" s="40" t="s">
        <v>53</v>
      </c>
      <c r="P57" s="40" t="s">
        <v>55</v>
      </c>
      <c r="Q57" s="40" t="s">
        <v>55</v>
      </c>
      <c r="R57" s="40" t="s">
        <v>55</v>
      </c>
      <c r="S57" s="40" t="s">
        <v>55</v>
      </c>
      <c r="T57" s="40" t="s">
        <v>55</v>
      </c>
      <c r="V57" s="4"/>
    </row>
    <row r="58" spans="1:22" s="40" customFormat="1" ht="30" customHeight="1" x14ac:dyDescent="0.35">
      <c r="A58" s="102" t="s">
        <v>208</v>
      </c>
      <c r="B58" s="10" t="s">
        <v>92</v>
      </c>
      <c r="C58" s="10" t="s">
        <v>220</v>
      </c>
      <c r="D58" s="9" t="s">
        <v>221</v>
      </c>
      <c r="E58" s="40" t="s">
        <v>48</v>
      </c>
      <c r="F58" s="40" t="s">
        <v>61</v>
      </c>
      <c r="G58" s="40" t="s">
        <v>50</v>
      </c>
      <c r="H58" s="40" t="s">
        <v>160</v>
      </c>
      <c r="I58" s="40" t="s">
        <v>63</v>
      </c>
      <c r="J58" s="40" t="s">
        <v>63</v>
      </c>
      <c r="K58" s="40" t="s">
        <v>53</v>
      </c>
      <c r="L58" s="40" t="s">
        <v>54</v>
      </c>
      <c r="M58" s="40" t="s">
        <v>53</v>
      </c>
      <c r="N58" s="40" t="s">
        <v>53</v>
      </c>
      <c r="O58" s="40" t="s">
        <v>53</v>
      </c>
      <c r="P58" s="40" t="s">
        <v>55</v>
      </c>
      <c r="Q58" s="40" t="s">
        <v>56</v>
      </c>
      <c r="R58" s="40" t="s">
        <v>55</v>
      </c>
      <c r="S58" s="40" t="s">
        <v>55</v>
      </c>
      <c r="T58" s="40" t="s">
        <v>55</v>
      </c>
      <c r="V58" s="4"/>
    </row>
    <row r="59" spans="1:22" s="40" customFormat="1" ht="43.5" customHeight="1" x14ac:dyDescent="0.35">
      <c r="A59" s="102" t="s">
        <v>208</v>
      </c>
      <c r="B59" s="10" t="s">
        <v>92</v>
      </c>
      <c r="C59" s="10" t="s">
        <v>222</v>
      </c>
      <c r="D59" s="9" t="s">
        <v>223</v>
      </c>
      <c r="E59" s="40" t="s">
        <v>48</v>
      </c>
      <c r="F59" s="40" t="s">
        <v>61</v>
      </c>
      <c r="G59" s="40" t="s">
        <v>50</v>
      </c>
      <c r="H59" s="40" t="s">
        <v>160</v>
      </c>
      <c r="I59" s="40" t="s">
        <v>63</v>
      </c>
      <c r="J59" s="40" t="s">
        <v>53</v>
      </c>
      <c r="K59" s="40" t="s">
        <v>53</v>
      </c>
      <c r="L59" s="40" t="s">
        <v>54</v>
      </c>
      <c r="M59" s="40" t="s">
        <v>53</v>
      </c>
      <c r="N59" s="40" t="s">
        <v>53</v>
      </c>
      <c r="O59" s="40" t="s">
        <v>53</v>
      </c>
      <c r="P59" s="40" t="s">
        <v>55</v>
      </c>
      <c r="Q59" s="40" t="s">
        <v>56</v>
      </c>
      <c r="R59" s="40" t="s">
        <v>55</v>
      </c>
      <c r="S59" s="40" t="s">
        <v>55</v>
      </c>
      <c r="T59" s="40" t="s">
        <v>55</v>
      </c>
      <c r="U59" s="40" t="s">
        <v>224</v>
      </c>
      <c r="V59" s="4"/>
    </row>
    <row r="60" spans="1:22" s="40" customFormat="1" ht="44.25" customHeight="1" x14ac:dyDescent="0.35">
      <c r="A60" s="102" t="s">
        <v>208</v>
      </c>
      <c r="B60" s="10" t="s">
        <v>92</v>
      </c>
      <c r="C60" s="10" t="s">
        <v>225</v>
      </c>
      <c r="D60" s="9" t="s">
        <v>226</v>
      </c>
      <c r="E60" s="40" t="s">
        <v>151</v>
      </c>
      <c r="F60" s="40" t="s">
        <v>138</v>
      </c>
      <c r="G60" s="40" t="s">
        <v>50</v>
      </c>
      <c r="H60" s="40" t="s">
        <v>160</v>
      </c>
      <c r="I60" s="40" t="s">
        <v>63</v>
      </c>
      <c r="J60" s="40" t="s">
        <v>53</v>
      </c>
      <c r="K60" s="40" t="s">
        <v>53</v>
      </c>
      <c r="L60" s="40" t="s">
        <v>69</v>
      </c>
      <c r="M60" s="40" t="s">
        <v>53</v>
      </c>
      <c r="N60" s="40" t="s">
        <v>76</v>
      </c>
      <c r="O60" s="40" t="s">
        <v>53</v>
      </c>
      <c r="P60" s="40" t="s">
        <v>55</v>
      </c>
      <c r="Q60" s="40" t="s">
        <v>55</v>
      </c>
      <c r="R60" s="40" t="s">
        <v>55</v>
      </c>
      <c r="S60" s="40" t="s">
        <v>55</v>
      </c>
      <c r="T60" s="40" t="s">
        <v>55</v>
      </c>
      <c r="V60" s="4"/>
    </row>
    <row r="61" spans="1:22" s="40" customFormat="1" ht="29" x14ac:dyDescent="0.35">
      <c r="A61" s="102" t="s">
        <v>208</v>
      </c>
      <c r="B61" s="10" t="s">
        <v>92</v>
      </c>
      <c r="C61" s="10" t="s">
        <v>227</v>
      </c>
      <c r="D61" s="9" t="s">
        <v>228</v>
      </c>
      <c r="E61" s="40" t="s">
        <v>48</v>
      </c>
      <c r="F61" s="40" t="s">
        <v>61</v>
      </c>
      <c r="G61" s="40" t="s">
        <v>50</v>
      </c>
      <c r="H61" s="40" t="s">
        <v>160</v>
      </c>
      <c r="I61" s="40" t="s">
        <v>63</v>
      </c>
      <c r="J61" s="40" t="s">
        <v>53</v>
      </c>
      <c r="K61" s="40" t="s">
        <v>53</v>
      </c>
      <c r="L61" s="40" t="s">
        <v>54</v>
      </c>
      <c r="M61" s="40" t="s">
        <v>76</v>
      </c>
      <c r="N61" s="40" t="s">
        <v>53</v>
      </c>
      <c r="O61" s="40" t="s">
        <v>53</v>
      </c>
      <c r="P61" s="40" t="s">
        <v>55</v>
      </c>
      <c r="Q61" s="40" t="s">
        <v>56</v>
      </c>
      <c r="R61" s="40" t="s">
        <v>55</v>
      </c>
      <c r="S61" s="40" t="s">
        <v>55</v>
      </c>
      <c r="T61" s="40" t="s">
        <v>55</v>
      </c>
      <c r="V61" s="4"/>
    </row>
    <row r="62" spans="1:22" s="40" customFormat="1" ht="45" customHeight="1" x14ac:dyDescent="0.35">
      <c r="A62" s="102" t="s">
        <v>208</v>
      </c>
      <c r="B62" s="10" t="s">
        <v>92</v>
      </c>
      <c r="C62" s="10" t="s">
        <v>229</v>
      </c>
      <c r="D62" s="9" t="s">
        <v>230</v>
      </c>
      <c r="E62" s="40" t="s">
        <v>48</v>
      </c>
      <c r="F62" s="40" t="s">
        <v>61</v>
      </c>
      <c r="G62" s="40" t="s">
        <v>50</v>
      </c>
      <c r="H62" s="40" t="s">
        <v>160</v>
      </c>
      <c r="I62" s="40" t="s">
        <v>63</v>
      </c>
      <c r="J62" s="40" t="s">
        <v>53</v>
      </c>
      <c r="K62" s="40" t="s">
        <v>53</v>
      </c>
      <c r="L62" s="40" t="s">
        <v>54</v>
      </c>
      <c r="M62" s="40" t="s">
        <v>76</v>
      </c>
      <c r="N62" s="40" t="s">
        <v>53</v>
      </c>
      <c r="O62" s="40" t="s">
        <v>53</v>
      </c>
      <c r="P62" s="40" t="s">
        <v>55</v>
      </c>
      <c r="Q62" s="40" t="s">
        <v>56</v>
      </c>
      <c r="R62" s="40" t="s">
        <v>55</v>
      </c>
      <c r="S62" s="40" t="s">
        <v>55</v>
      </c>
      <c r="T62" s="40" t="s">
        <v>55</v>
      </c>
      <c r="V62" s="4"/>
    </row>
    <row r="63" spans="1:22" s="40" customFormat="1" ht="60" customHeight="1" x14ac:dyDescent="0.35">
      <c r="A63" s="102" t="s">
        <v>208</v>
      </c>
      <c r="B63" s="10" t="s">
        <v>92</v>
      </c>
      <c r="C63" s="10" t="s">
        <v>231</v>
      </c>
      <c r="D63" s="9" t="s">
        <v>232</v>
      </c>
      <c r="E63" s="40" t="s">
        <v>151</v>
      </c>
      <c r="F63" s="40" t="s">
        <v>219</v>
      </c>
      <c r="G63" s="40" t="s">
        <v>50</v>
      </c>
      <c r="H63" s="40" t="s">
        <v>160</v>
      </c>
      <c r="I63" s="40" t="s">
        <v>52</v>
      </c>
      <c r="J63" s="40" t="s">
        <v>53</v>
      </c>
      <c r="K63" s="40" t="s">
        <v>53</v>
      </c>
      <c r="L63" s="40" t="s">
        <v>69</v>
      </c>
      <c r="M63" s="40" t="s">
        <v>75</v>
      </c>
      <c r="N63" s="40" t="s">
        <v>76</v>
      </c>
      <c r="O63" s="40" t="s">
        <v>53</v>
      </c>
      <c r="P63" s="40" t="s">
        <v>55</v>
      </c>
      <c r="Q63" s="40" t="s">
        <v>55</v>
      </c>
      <c r="R63" s="40" t="s">
        <v>55</v>
      </c>
      <c r="S63" s="40" t="s">
        <v>55</v>
      </c>
      <c r="T63" s="40" t="s">
        <v>55</v>
      </c>
      <c r="V63" s="4"/>
    </row>
    <row r="64" spans="1:22" s="40" customFormat="1" ht="45" customHeight="1" x14ac:dyDescent="0.35">
      <c r="A64" s="102" t="s">
        <v>208</v>
      </c>
      <c r="B64" s="10" t="s">
        <v>92</v>
      </c>
      <c r="C64" s="10" t="s">
        <v>233</v>
      </c>
      <c r="D64" s="9" t="s">
        <v>234</v>
      </c>
      <c r="E64" s="40" t="s">
        <v>48</v>
      </c>
      <c r="F64" s="40" t="s">
        <v>61</v>
      </c>
      <c r="G64" s="40" t="s">
        <v>50</v>
      </c>
      <c r="H64" s="40" t="s">
        <v>160</v>
      </c>
      <c r="I64" s="40" t="s">
        <v>52</v>
      </c>
      <c r="J64" s="40" t="s">
        <v>52</v>
      </c>
      <c r="K64" s="40" t="s">
        <v>52</v>
      </c>
      <c r="M64" s="40" t="s">
        <v>76</v>
      </c>
      <c r="N64" s="40" t="s">
        <v>53</v>
      </c>
      <c r="O64" s="40" t="s">
        <v>53</v>
      </c>
      <c r="P64" s="40" t="s">
        <v>55</v>
      </c>
      <c r="Q64" s="40" t="s">
        <v>56</v>
      </c>
      <c r="R64" s="40" t="s">
        <v>55</v>
      </c>
      <c r="S64" s="40" t="s">
        <v>55</v>
      </c>
      <c r="T64" s="40" t="s">
        <v>55</v>
      </c>
      <c r="U64" s="40" t="s">
        <v>57</v>
      </c>
      <c r="V64" s="4" t="s">
        <v>235</v>
      </c>
    </row>
    <row r="65" spans="1:22" s="40" customFormat="1" ht="30" customHeight="1" x14ac:dyDescent="0.35">
      <c r="A65" s="102" t="s">
        <v>208</v>
      </c>
      <c r="B65" s="10" t="s">
        <v>92</v>
      </c>
      <c r="C65" s="10" t="s">
        <v>236</v>
      </c>
      <c r="D65" s="9" t="s">
        <v>237</v>
      </c>
      <c r="E65" s="40" t="s">
        <v>48</v>
      </c>
      <c r="F65" s="40" t="s">
        <v>61</v>
      </c>
      <c r="G65" s="40" t="s">
        <v>50</v>
      </c>
      <c r="H65" s="40" t="s">
        <v>160</v>
      </c>
      <c r="I65" s="40" t="s">
        <v>63</v>
      </c>
      <c r="J65" s="40" t="s">
        <v>53</v>
      </c>
      <c r="K65" s="40" t="s">
        <v>53</v>
      </c>
      <c r="L65" s="40" t="s">
        <v>54</v>
      </c>
      <c r="M65" s="40" t="s">
        <v>76</v>
      </c>
      <c r="N65" s="40" t="s">
        <v>53</v>
      </c>
      <c r="O65" s="40" t="s">
        <v>53</v>
      </c>
      <c r="P65" s="40" t="s">
        <v>55</v>
      </c>
      <c r="Q65" s="40" t="s">
        <v>56</v>
      </c>
      <c r="R65" s="40" t="s">
        <v>55</v>
      </c>
      <c r="S65" s="40" t="s">
        <v>55</v>
      </c>
      <c r="T65" s="40" t="s">
        <v>55</v>
      </c>
      <c r="V65" s="4" t="s">
        <v>238</v>
      </c>
    </row>
    <row r="66" spans="1:22" s="40" customFormat="1" ht="29" x14ac:dyDescent="0.35">
      <c r="A66" s="102"/>
      <c r="B66" s="10" t="s">
        <v>92</v>
      </c>
      <c r="C66" s="10" t="s">
        <v>239</v>
      </c>
      <c r="D66" s="9" t="s">
        <v>240</v>
      </c>
      <c r="E66" s="40" t="s">
        <v>151</v>
      </c>
      <c r="F66" s="40" t="s">
        <v>61</v>
      </c>
      <c r="G66" s="40" t="s">
        <v>50</v>
      </c>
      <c r="H66" s="40" t="s">
        <v>160</v>
      </c>
      <c r="I66" s="40" t="s">
        <v>79</v>
      </c>
      <c r="J66" s="40" t="s">
        <v>53</v>
      </c>
      <c r="K66" s="40" t="s">
        <v>53</v>
      </c>
      <c r="L66" s="40" t="s">
        <v>69</v>
      </c>
      <c r="M66" s="40" t="s">
        <v>76</v>
      </c>
      <c r="N66" s="40" t="s">
        <v>76</v>
      </c>
      <c r="O66" s="40" t="s">
        <v>53</v>
      </c>
      <c r="P66" s="40" t="s">
        <v>55</v>
      </c>
      <c r="Q66" s="40" t="s">
        <v>55</v>
      </c>
      <c r="R66" s="40" t="s">
        <v>55</v>
      </c>
      <c r="S66" s="40" t="s">
        <v>55</v>
      </c>
      <c r="T66" s="40" t="s">
        <v>55</v>
      </c>
      <c r="V66" s="4"/>
    </row>
    <row r="67" spans="1:22" s="40" customFormat="1" ht="29" x14ac:dyDescent="0.35">
      <c r="A67" s="102" t="s">
        <v>208</v>
      </c>
      <c r="B67" s="10" t="s">
        <v>92</v>
      </c>
      <c r="C67" s="10" t="s">
        <v>241</v>
      </c>
      <c r="D67" s="9" t="s">
        <v>242</v>
      </c>
      <c r="E67" s="40" t="s">
        <v>104</v>
      </c>
      <c r="F67" s="40" t="s">
        <v>49</v>
      </c>
      <c r="G67" s="40" t="s">
        <v>50</v>
      </c>
      <c r="H67" s="40" t="s">
        <v>107</v>
      </c>
      <c r="I67" s="40" t="s">
        <v>63</v>
      </c>
      <c r="J67" s="40" t="s">
        <v>63</v>
      </c>
      <c r="K67" s="40" t="s">
        <v>53</v>
      </c>
      <c r="L67" s="40" t="s">
        <v>54</v>
      </c>
      <c r="M67" s="40" t="s">
        <v>53</v>
      </c>
      <c r="N67" s="40" t="s">
        <v>53</v>
      </c>
      <c r="O67" s="40" t="s">
        <v>53</v>
      </c>
      <c r="P67" s="40" t="s">
        <v>55</v>
      </c>
      <c r="Q67" s="40" t="s">
        <v>56</v>
      </c>
      <c r="R67" s="40" t="s">
        <v>56</v>
      </c>
      <c r="S67" s="40" t="s">
        <v>55</v>
      </c>
      <c r="T67" s="40" t="s">
        <v>55</v>
      </c>
      <c r="V67" s="4"/>
    </row>
    <row r="68" spans="1:22" s="40" customFormat="1" ht="45" customHeight="1" x14ac:dyDescent="0.35">
      <c r="A68" s="102" t="s">
        <v>208</v>
      </c>
      <c r="B68" s="10" t="s">
        <v>92</v>
      </c>
      <c r="C68" s="10" t="s">
        <v>243</v>
      </c>
      <c r="D68" s="9" t="s">
        <v>244</v>
      </c>
      <c r="E68" s="40" t="s">
        <v>104</v>
      </c>
      <c r="F68" s="40" t="s">
        <v>61</v>
      </c>
      <c r="G68" s="40" t="s">
        <v>62</v>
      </c>
      <c r="H68" s="40" t="s">
        <v>177</v>
      </c>
      <c r="I68" s="40" t="s">
        <v>52</v>
      </c>
      <c r="J68" s="40" t="s">
        <v>52</v>
      </c>
      <c r="K68" s="40" t="s">
        <v>63</v>
      </c>
      <c r="L68" s="40" t="s">
        <v>110</v>
      </c>
      <c r="M68" s="40" t="s">
        <v>76</v>
      </c>
      <c r="N68" s="40" t="s">
        <v>76</v>
      </c>
      <c r="O68" s="40" t="s">
        <v>53</v>
      </c>
      <c r="P68" s="40" t="s">
        <v>56</v>
      </c>
      <c r="Q68" s="40" t="s">
        <v>55</v>
      </c>
      <c r="R68" s="40" t="s">
        <v>55</v>
      </c>
      <c r="S68" s="40" t="s">
        <v>55</v>
      </c>
      <c r="T68" s="40" t="s">
        <v>56</v>
      </c>
      <c r="U68" s="40" t="s">
        <v>245</v>
      </c>
      <c r="V68" s="4" t="s">
        <v>246</v>
      </c>
    </row>
    <row r="69" spans="1:22" s="40" customFormat="1" ht="64.5" customHeight="1" x14ac:dyDescent="0.35">
      <c r="A69" s="102" t="s">
        <v>208</v>
      </c>
      <c r="B69" s="10" t="s">
        <v>92</v>
      </c>
      <c r="C69" s="10" t="s">
        <v>247</v>
      </c>
      <c r="D69" s="9" t="s">
        <v>248</v>
      </c>
      <c r="E69" s="40" t="s">
        <v>48</v>
      </c>
      <c r="F69" s="40" t="s">
        <v>49</v>
      </c>
      <c r="G69" s="40" t="s">
        <v>128</v>
      </c>
      <c r="H69" s="40" t="s">
        <v>51</v>
      </c>
      <c r="I69" s="40" t="s">
        <v>63</v>
      </c>
      <c r="J69" s="40" t="s">
        <v>53</v>
      </c>
      <c r="K69" s="40" t="s">
        <v>53</v>
      </c>
      <c r="L69" s="40" t="s">
        <v>54</v>
      </c>
      <c r="M69" s="40" t="s">
        <v>53</v>
      </c>
      <c r="N69" s="40" t="s">
        <v>53</v>
      </c>
      <c r="O69" s="40" t="s">
        <v>53</v>
      </c>
      <c r="P69" s="40" t="s">
        <v>55</v>
      </c>
      <c r="Q69" s="40" t="s">
        <v>56</v>
      </c>
      <c r="R69" s="40" t="s">
        <v>55</v>
      </c>
      <c r="S69" s="40" t="s">
        <v>55</v>
      </c>
      <c r="T69" s="40" t="s">
        <v>55</v>
      </c>
      <c r="V69" s="4" t="s">
        <v>249</v>
      </c>
    </row>
    <row r="70" spans="1:22" s="40" customFormat="1" ht="109.5" customHeight="1" x14ac:dyDescent="0.35">
      <c r="A70" s="102" t="s">
        <v>208</v>
      </c>
      <c r="B70" s="10" t="s">
        <v>92</v>
      </c>
      <c r="C70" s="10" t="s">
        <v>250</v>
      </c>
      <c r="D70" s="9" t="s">
        <v>251</v>
      </c>
      <c r="E70" s="40" t="s">
        <v>87</v>
      </c>
      <c r="F70" s="40" t="s">
        <v>49</v>
      </c>
      <c r="G70" s="40" t="s">
        <v>128</v>
      </c>
      <c r="H70" s="40" t="s">
        <v>51</v>
      </c>
      <c r="I70" s="40" t="s">
        <v>63</v>
      </c>
      <c r="J70" s="40" t="s">
        <v>63</v>
      </c>
      <c r="K70" s="40" t="s">
        <v>63</v>
      </c>
      <c r="M70" s="40" t="s">
        <v>76</v>
      </c>
      <c r="N70" s="40" t="s">
        <v>53</v>
      </c>
      <c r="O70" s="40" t="s">
        <v>53</v>
      </c>
      <c r="P70" s="40" t="s">
        <v>55</v>
      </c>
      <c r="Q70" s="40" t="s">
        <v>56</v>
      </c>
      <c r="R70" s="40" t="s">
        <v>55</v>
      </c>
      <c r="S70" s="40" t="s">
        <v>55</v>
      </c>
      <c r="T70" s="40" t="s">
        <v>55</v>
      </c>
      <c r="U70" s="4" t="s">
        <v>252</v>
      </c>
      <c r="V70" s="4" t="s">
        <v>253</v>
      </c>
    </row>
    <row r="71" spans="1:22" s="40" customFormat="1" ht="30" customHeight="1" x14ac:dyDescent="0.35">
      <c r="A71" s="102" t="s">
        <v>208</v>
      </c>
      <c r="B71" s="10" t="s">
        <v>92</v>
      </c>
      <c r="C71" s="10" t="s">
        <v>254</v>
      </c>
      <c r="D71" s="9" t="s">
        <v>255</v>
      </c>
      <c r="E71" s="40" t="s">
        <v>48</v>
      </c>
      <c r="F71" s="40" t="s">
        <v>49</v>
      </c>
      <c r="G71" s="40" t="s">
        <v>98</v>
      </c>
      <c r="H71" s="40" t="s">
        <v>51</v>
      </c>
      <c r="I71" s="40" t="s">
        <v>52</v>
      </c>
      <c r="J71" s="40" t="s">
        <v>53</v>
      </c>
      <c r="K71" s="40" t="s">
        <v>53</v>
      </c>
      <c r="M71" s="40" t="s">
        <v>76</v>
      </c>
      <c r="N71" s="40" t="s">
        <v>53</v>
      </c>
      <c r="O71" s="40" t="s">
        <v>53</v>
      </c>
      <c r="P71" s="40" t="s">
        <v>55</v>
      </c>
      <c r="Q71" s="40" t="s">
        <v>56</v>
      </c>
      <c r="R71" s="40" t="s">
        <v>55</v>
      </c>
      <c r="S71" s="40" t="s">
        <v>55</v>
      </c>
      <c r="T71" s="40" t="s">
        <v>55</v>
      </c>
      <c r="U71" s="4" t="s">
        <v>146</v>
      </c>
      <c r="V71" s="4" t="s">
        <v>256</v>
      </c>
    </row>
    <row r="72" spans="1:22" s="40" customFormat="1" ht="30" customHeight="1" x14ac:dyDescent="0.35">
      <c r="A72" s="102" t="s">
        <v>208</v>
      </c>
      <c r="B72" s="10" t="s">
        <v>92</v>
      </c>
      <c r="C72" s="10" t="s">
        <v>257</v>
      </c>
      <c r="D72" s="9" t="s">
        <v>258</v>
      </c>
      <c r="E72" s="40" t="s">
        <v>87</v>
      </c>
      <c r="F72" s="40" t="s">
        <v>49</v>
      </c>
      <c r="G72" s="40" t="s">
        <v>98</v>
      </c>
      <c r="H72" s="40" t="s">
        <v>51</v>
      </c>
      <c r="I72" s="40" t="s">
        <v>52</v>
      </c>
      <c r="J72" s="40" t="s">
        <v>52</v>
      </c>
      <c r="K72" s="40" t="s">
        <v>52</v>
      </c>
      <c r="L72" s="40" t="s">
        <v>69</v>
      </c>
      <c r="M72" s="40" t="s">
        <v>76</v>
      </c>
      <c r="N72" s="40" t="s">
        <v>53</v>
      </c>
      <c r="O72" s="40" t="s">
        <v>53</v>
      </c>
      <c r="P72" s="40" t="s">
        <v>55</v>
      </c>
      <c r="Q72" s="40" t="s">
        <v>56</v>
      </c>
      <c r="R72" s="40" t="s">
        <v>55</v>
      </c>
      <c r="S72" s="40" t="s">
        <v>55</v>
      </c>
      <c r="T72" s="40" t="s">
        <v>55</v>
      </c>
      <c r="U72" s="4" t="s">
        <v>252</v>
      </c>
      <c r="V72" s="4"/>
    </row>
    <row r="73" spans="1:22" s="40" customFormat="1" ht="45" customHeight="1" x14ac:dyDescent="0.35">
      <c r="A73" s="102" t="s">
        <v>208</v>
      </c>
      <c r="B73" s="10" t="s">
        <v>92</v>
      </c>
      <c r="C73" s="10" t="s">
        <v>259</v>
      </c>
      <c r="D73" s="9" t="s">
        <v>260</v>
      </c>
      <c r="E73" s="40" t="s">
        <v>151</v>
      </c>
      <c r="F73" s="40" t="s">
        <v>138</v>
      </c>
      <c r="G73" s="40" t="s">
        <v>50</v>
      </c>
      <c r="H73" s="40" t="s">
        <v>107</v>
      </c>
      <c r="I73" s="40" t="s">
        <v>63</v>
      </c>
      <c r="J73" s="40" t="s">
        <v>53</v>
      </c>
      <c r="K73" s="40" t="s">
        <v>53</v>
      </c>
      <c r="L73" s="40" t="s">
        <v>69</v>
      </c>
      <c r="M73" s="40" t="s">
        <v>53</v>
      </c>
      <c r="N73" s="40" t="s">
        <v>76</v>
      </c>
      <c r="O73" s="40" t="s">
        <v>53</v>
      </c>
      <c r="P73" s="40" t="s">
        <v>55</v>
      </c>
      <c r="Q73" s="40" t="s">
        <v>55</v>
      </c>
      <c r="R73" s="40" t="s">
        <v>55</v>
      </c>
      <c r="S73" s="40" t="s">
        <v>55</v>
      </c>
      <c r="T73" s="40" t="s">
        <v>55</v>
      </c>
      <c r="V73" s="4"/>
    </row>
    <row r="74" spans="1:22" s="40" customFormat="1" ht="34.5" customHeight="1" x14ac:dyDescent="0.35">
      <c r="A74" s="102" t="s">
        <v>208</v>
      </c>
      <c r="B74" s="10" t="s">
        <v>92</v>
      </c>
      <c r="C74" s="10" t="s">
        <v>261</v>
      </c>
      <c r="D74" s="9" t="s">
        <v>262</v>
      </c>
      <c r="E74" s="40" t="s">
        <v>48</v>
      </c>
      <c r="F74" s="40" t="s">
        <v>49</v>
      </c>
      <c r="G74" s="40" t="s">
        <v>183</v>
      </c>
      <c r="H74" s="40" t="s">
        <v>99</v>
      </c>
      <c r="I74" s="40" t="s">
        <v>63</v>
      </c>
      <c r="J74" s="40" t="s">
        <v>63</v>
      </c>
      <c r="K74" s="40" t="s">
        <v>53</v>
      </c>
      <c r="M74" s="40" t="s">
        <v>76</v>
      </c>
      <c r="N74" s="40" t="s">
        <v>53</v>
      </c>
      <c r="O74" s="40" t="s">
        <v>53</v>
      </c>
      <c r="P74" s="40" t="s">
        <v>55</v>
      </c>
      <c r="Q74" s="40" t="s">
        <v>56</v>
      </c>
      <c r="R74" s="40" t="s">
        <v>55</v>
      </c>
      <c r="S74" s="40" t="s">
        <v>55</v>
      </c>
      <c r="T74" s="40" t="s">
        <v>55</v>
      </c>
      <c r="U74" s="40" t="s">
        <v>263</v>
      </c>
      <c r="V74" s="4" t="s">
        <v>264</v>
      </c>
    </row>
    <row r="75" spans="1:22" s="40" customFormat="1" ht="30" customHeight="1" x14ac:dyDescent="0.35">
      <c r="A75" s="102" t="s">
        <v>208</v>
      </c>
      <c r="B75" s="10" t="s">
        <v>92</v>
      </c>
      <c r="C75" s="10" t="s">
        <v>265</v>
      </c>
      <c r="D75" s="9" t="s">
        <v>266</v>
      </c>
      <c r="E75" s="40" t="s">
        <v>48</v>
      </c>
      <c r="F75" s="40" t="s">
        <v>49</v>
      </c>
      <c r="G75" s="40" t="s">
        <v>73</v>
      </c>
      <c r="H75" s="40" t="s">
        <v>51</v>
      </c>
      <c r="I75" s="40" t="s">
        <v>63</v>
      </c>
      <c r="J75" s="40" t="s">
        <v>63</v>
      </c>
      <c r="K75" s="40" t="s">
        <v>53</v>
      </c>
      <c r="M75" s="40" t="s">
        <v>76</v>
      </c>
      <c r="N75" s="40" t="s">
        <v>53</v>
      </c>
      <c r="O75" s="40" t="s">
        <v>53</v>
      </c>
      <c r="P75" s="40" t="s">
        <v>55</v>
      </c>
      <c r="Q75" s="40" t="s">
        <v>56</v>
      </c>
      <c r="R75" s="40" t="s">
        <v>55</v>
      </c>
      <c r="S75" s="40" t="s">
        <v>55</v>
      </c>
      <c r="T75" s="40" t="s">
        <v>55</v>
      </c>
      <c r="U75" s="40" t="s">
        <v>135</v>
      </c>
      <c r="V75" s="4" t="s">
        <v>264</v>
      </c>
    </row>
    <row r="76" spans="1:22" s="40" customFormat="1" ht="48.75" customHeight="1" x14ac:dyDescent="0.35">
      <c r="A76" s="102" t="s">
        <v>208</v>
      </c>
      <c r="B76" s="10" t="s">
        <v>92</v>
      </c>
      <c r="C76" s="10" t="s">
        <v>267</v>
      </c>
      <c r="D76" s="9" t="s">
        <v>268</v>
      </c>
      <c r="E76" s="40" t="s">
        <v>48</v>
      </c>
      <c r="F76" s="40" t="s">
        <v>49</v>
      </c>
      <c r="G76" s="40" t="s">
        <v>50</v>
      </c>
      <c r="H76" s="40" t="s">
        <v>99</v>
      </c>
      <c r="I76" s="40" t="s">
        <v>63</v>
      </c>
      <c r="J76" s="40" t="s">
        <v>63</v>
      </c>
      <c r="K76" s="40" t="s">
        <v>53</v>
      </c>
      <c r="M76" s="40" t="s">
        <v>76</v>
      </c>
      <c r="N76" s="40" t="s">
        <v>53</v>
      </c>
      <c r="O76" s="40" t="s">
        <v>53</v>
      </c>
      <c r="P76" s="40" t="s">
        <v>55</v>
      </c>
      <c r="Q76" s="40" t="s">
        <v>56</v>
      </c>
      <c r="R76" s="40" t="s">
        <v>55</v>
      </c>
      <c r="S76" s="40" t="s">
        <v>55</v>
      </c>
      <c r="T76" s="40" t="s">
        <v>55</v>
      </c>
      <c r="U76" s="40" t="s">
        <v>263</v>
      </c>
      <c r="V76" s="4" t="s">
        <v>264</v>
      </c>
    </row>
    <row r="77" spans="1:22" s="40" customFormat="1" ht="30" customHeight="1" x14ac:dyDescent="0.35">
      <c r="A77" s="102" t="s">
        <v>208</v>
      </c>
      <c r="B77" s="10" t="s">
        <v>92</v>
      </c>
      <c r="C77" s="10" t="s">
        <v>269</v>
      </c>
      <c r="D77" s="9" t="s">
        <v>270</v>
      </c>
      <c r="E77" s="40" t="s">
        <v>48</v>
      </c>
      <c r="F77" s="40" t="s">
        <v>138</v>
      </c>
      <c r="G77" s="40" t="s">
        <v>73</v>
      </c>
      <c r="H77" s="40" t="s">
        <v>99</v>
      </c>
      <c r="I77" s="40" t="s">
        <v>63</v>
      </c>
      <c r="J77" s="40" t="s">
        <v>53</v>
      </c>
      <c r="K77" s="40" t="s">
        <v>63</v>
      </c>
      <c r="L77" s="40" t="s">
        <v>54</v>
      </c>
      <c r="M77" s="40" t="s">
        <v>76</v>
      </c>
      <c r="N77" s="40" t="s">
        <v>53</v>
      </c>
      <c r="O77" s="40" t="s">
        <v>53</v>
      </c>
      <c r="P77" s="40" t="s">
        <v>55</v>
      </c>
      <c r="Q77" s="40" t="s">
        <v>56</v>
      </c>
      <c r="R77" s="40" t="s">
        <v>55</v>
      </c>
      <c r="S77" s="40" t="s">
        <v>55</v>
      </c>
      <c r="T77" s="40" t="s">
        <v>55</v>
      </c>
      <c r="U77" s="40" t="s">
        <v>146</v>
      </c>
      <c r="V77" s="4"/>
    </row>
    <row r="78" spans="1:22" s="40" customFormat="1" ht="44.25" customHeight="1" x14ac:dyDescent="0.35">
      <c r="A78" s="102" t="s">
        <v>208</v>
      </c>
      <c r="B78" s="10" t="s">
        <v>92</v>
      </c>
      <c r="C78" s="10" t="s">
        <v>271</v>
      </c>
      <c r="D78" s="9" t="s">
        <v>272</v>
      </c>
      <c r="E78" s="40" t="s">
        <v>48</v>
      </c>
      <c r="F78" s="40" t="s">
        <v>61</v>
      </c>
      <c r="G78" s="40" t="s">
        <v>73</v>
      </c>
      <c r="H78" s="40" t="s">
        <v>99</v>
      </c>
      <c r="I78" s="40" t="s">
        <v>63</v>
      </c>
      <c r="J78" s="40" t="s">
        <v>63</v>
      </c>
      <c r="K78" s="40" t="s">
        <v>53</v>
      </c>
      <c r="M78" s="40" t="s">
        <v>76</v>
      </c>
      <c r="N78" s="40" t="s">
        <v>53</v>
      </c>
      <c r="O78" s="40" t="s">
        <v>53</v>
      </c>
      <c r="P78" s="40" t="s">
        <v>55</v>
      </c>
      <c r="Q78" s="40" t="s">
        <v>56</v>
      </c>
      <c r="R78" s="40" t="s">
        <v>55</v>
      </c>
      <c r="S78" s="40" t="s">
        <v>55</v>
      </c>
      <c r="T78" s="40" t="s">
        <v>55</v>
      </c>
      <c r="U78" s="40" t="s">
        <v>135</v>
      </c>
      <c r="V78" s="4" t="s">
        <v>264</v>
      </c>
    </row>
    <row r="79" spans="1:22" s="40" customFormat="1" ht="30" customHeight="1" x14ac:dyDescent="0.35">
      <c r="A79" s="99" t="s">
        <v>94</v>
      </c>
      <c r="B79" s="10" t="s">
        <v>273</v>
      </c>
      <c r="C79" s="10" t="s">
        <v>274</v>
      </c>
      <c r="D79" s="4" t="s">
        <v>275</v>
      </c>
      <c r="E79" s="4" t="s">
        <v>151</v>
      </c>
      <c r="F79" s="4" t="s">
        <v>61</v>
      </c>
      <c r="G79" s="4" t="s">
        <v>62</v>
      </c>
      <c r="H79" s="4" t="s">
        <v>62</v>
      </c>
      <c r="I79" s="4" t="s">
        <v>63</v>
      </c>
      <c r="J79" s="4" t="s">
        <v>52</v>
      </c>
      <c r="K79" s="4" t="s">
        <v>63</v>
      </c>
      <c r="L79" s="4" t="s">
        <v>54</v>
      </c>
      <c r="M79" s="4" t="s">
        <v>76</v>
      </c>
      <c r="N79" s="4" t="s">
        <v>53</v>
      </c>
      <c r="O79" s="4" t="s">
        <v>53</v>
      </c>
      <c r="P79" s="4"/>
      <c r="Q79" s="4" t="s">
        <v>56</v>
      </c>
      <c r="R79" s="4" t="s">
        <v>56</v>
      </c>
      <c r="S79" s="4" t="s">
        <v>56</v>
      </c>
      <c r="T79" s="4" t="s">
        <v>55</v>
      </c>
      <c r="U79" s="4"/>
      <c r="V79" s="4" t="s">
        <v>276</v>
      </c>
    </row>
    <row r="80" spans="1:22" s="40" customFormat="1" ht="30" customHeight="1" x14ac:dyDescent="0.35">
      <c r="A80" s="99" t="s">
        <v>94</v>
      </c>
      <c r="B80" s="10" t="s">
        <v>273</v>
      </c>
      <c r="C80" s="10" t="s">
        <v>277</v>
      </c>
      <c r="D80" s="4" t="s">
        <v>278</v>
      </c>
      <c r="E80" s="4" t="s">
        <v>104</v>
      </c>
      <c r="F80" s="4" t="s">
        <v>61</v>
      </c>
      <c r="G80" s="4" t="s">
        <v>62</v>
      </c>
      <c r="H80" s="4" t="s">
        <v>62</v>
      </c>
      <c r="I80" s="4" t="s">
        <v>63</v>
      </c>
      <c r="J80" s="4" t="s">
        <v>52</v>
      </c>
      <c r="K80" s="4" t="s">
        <v>79</v>
      </c>
      <c r="L80" s="4" t="s">
        <v>54</v>
      </c>
      <c r="M80" s="4" t="s">
        <v>76</v>
      </c>
      <c r="N80" s="4" t="s">
        <v>53</v>
      </c>
      <c r="O80" s="4" t="s">
        <v>53</v>
      </c>
      <c r="P80" s="4"/>
      <c r="Q80" s="4" t="s">
        <v>55</v>
      </c>
      <c r="R80" s="4" t="s">
        <v>56</v>
      </c>
      <c r="S80" s="4" t="s">
        <v>56</v>
      </c>
      <c r="T80" s="4" t="s">
        <v>55</v>
      </c>
      <c r="U80" s="4"/>
      <c r="V80" s="4"/>
    </row>
    <row r="81" spans="1:22" s="40" customFormat="1" ht="30" customHeight="1" x14ac:dyDescent="0.35">
      <c r="A81" s="99" t="s">
        <v>94</v>
      </c>
      <c r="B81" s="10" t="s">
        <v>279</v>
      </c>
      <c r="C81" s="10" t="s">
        <v>280</v>
      </c>
      <c r="D81" s="4" t="s">
        <v>281</v>
      </c>
      <c r="E81" s="4" t="s">
        <v>48</v>
      </c>
      <c r="F81" s="4" t="s">
        <v>61</v>
      </c>
      <c r="G81" s="4" t="s">
        <v>62</v>
      </c>
      <c r="H81" s="4" t="s">
        <v>62</v>
      </c>
      <c r="I81" s="4" t="s">
        <v>52</v>
      </c>
      <c r="J81" s="4" t="s">
        <v>52</v>
      </c>
      <c r="K81" s="4" t="s">
        <v>52</v>
      </c>
      <c r="L81" s="4" t="s">
        <v>69</v>
      </c>
      <c r="M81" s="4" t="s">
        <v>76</v>
      </c>
      <c r="N81" s="4" t="s">
        <v>53</v>
      </c>
      <c r="O81" s="4" t="s">
        <v>53</v>
      </c>
      <c r="P81" s="4" t="s">
        <v>55</v>
      </c>
      <c r="Q81" s="4" t="s">
        <v>56</v>
      </c>
      <c r="R81" s="4" t="s">
        <v>56</v>
      </c>
      <c r="S81" s="4" t="s">
        <v>55</v>
      </c>
      <c r="T81" s="4" t="s">
        <v>55</v>
      </c>
      <c r="U81" s="4"/>
      <c r="V81" s="4" t="s">
        <v>282</v>
      </c>
    </row>
    <row r="82" spans="1:22" s="40" customFormat="1" ht="30" customHeight="1" x14ac:dyDescent="0.35">
      <c r="A82" s="99" t="s">
        <v>94</v>
      </c>
      <c r="B82" s="10" t="s">
        <v>279</v>
      </c>
      <c r="C82" s="10" t="s">
        <v>283</v>
      </c>
      <c r="D82" s="4" t="s">
        <v>284</v>
      </c>
      <c r="E82" s="4" t="s">
        <v>48</v>
      </c>
      <c r="F82" s="4" t="s">
        <v>61</v>
      </c>
      <c r="G82" s="4" t="s">
        <v>62</v>
      </c>
      <c r="H82" s="4" t="s">
        <v>62</v>
      </c>
      <c r="I82" s="4" t="s">
        <v>63</v>
      </c>
      <c r="J82" s="4" t="s">
        <v>63</v>
      </c>
      <c r="K82" s="4" t="s">
        <v>63</v>
      </c>
      <c r="L82" s="4" t="s">
        <v>54</v>
      </c>
      <c r="M82" s="4" t="s">
        <v>76</v>
      </c>
      <c r="N82" s="4" t="s">
        <v>53</v>
      </c>
      <c r="O82" s="4" t="s">
        <v>53</v>
      </c>
      <c r="P82" s="4" t="s">
        <v>55</v>
      </c>
      <c r="Q82" s="4" t="s">
        <v>56</v>
      </c>
      <c r="R82" s="4" t="s">
        <v>56</v>
      </c>
      <c r="S82" s="4" t="s">
        <v>55</v>
      </c>
      <c r="T82" s="4" t="s">
        <v>55</v>
      </c>
      <c r="U82" s="4"/>
      <c r="V82" s="4"/>
    </row>
    <row r="83" spans="1:22" s="40" customFormat="1" ht="30" customHeight="1" x14ac:dyDescent="0.35">
      <c r="A83" s="99" t="s">
        <v>94</v>
      </c>
      <c r="B83" s="10" t="s">
        <v>279</v>
      </c>
      <c r="C83" s="10" t="s">
        <v>285</v>
      </c>
      <c r="D83" s="4" t="s">
        <v>286</v>
      </c>
      <c r="E83" s="4" t="s">
        <v>104</v>
      </c>
      <c r="F83" s="4" t="s">
        <v>61</v>
      </c>
      <c r="G83" s="4" t="s">
        <v>50</v>
      </c>
      <c r="H83" s="4" t="s">
        <v>287</v>
      </c>
      <c r="I83" s="4" t="s">
        <v>63</v>
      </c>
      <c r="J83" s="4" t="s">
        <v>52</v>
      </c>
      <c r="K83" s="4" t="s">
        <v>52</v>
      </c>
      <c r="L83" s="4" t="s">
        <v>69</v>
      </c>
      <c r="M83" s="4" t="s">
        <v>76</v>
      </c>
      <c r="N83" s="4" t="s">
        <v>53</v>
      </c>
      <c r="O83" s="4" t="s">
        <v>53</v>
      </c>
      <c r="P83" s="4" t="s">
        <v>55</v>
      </c>
      <c r="Q83" s="4" t="s">
        <v>56</v>
      </c>
      <c r="R83" s="4" t="s">
        <v>56</v>
      </c>
      <c r="S83" s="4" t="s">
        <v>55</v>
      </c>
      <c r="T83" s="4" t="s">
        <v>55</v>
      </c>
      <c r="U83" s="4"/>
      <c r="V83" s="4" t="s">
        <v>288</v>
      </c>
    </row>
    <row r="84" spans="1:22" s="40" customFormat="1" ht="30" customHeight="1" x14ac:dyDescent="0.35">
      <c r="A84" s="106" t="s">
        <v>289</v>
      </c>
      <c r="B84" s="52" t="s">
        <v>290</v>
      </c>
      <c r="C84" s="10" t="s">
        <v>291</v>
      </c>
      <c r="D84" s="4" t="s">
        <v>292</v>
      </c>
      <c r="E84" s="4" t="s">
        <v>48</v>
      </c>
      <c r="F84" s="4" t="s">
        <v>49</v>
      </c>
      <c r="G84" s="4" t="s">
        <v>62</v>
      </c>
      <c r="H84" s="4" t="s">
        <v>62</v>
      </c>
      <c r="I84" s="4" t="s">
        <v>63</v>
      </c>
      <c r="J84" s="4" t="s">
        <v>52</v>
      </c>
      <c r="K84" s="4" t="s">
        <v>52</v>
      </c>
      <c r="L84" s="4" t="s">
        <v>54</v>
      </c>
      <c r="M84" s="4" t="s">
        <v>76</v>
      </c>
      <c r="N84" s="4" t="s">
        <v>53</v>
      </c>
      <c r="O84" s="4" t="s">
        <v>53</v>
      </c>
      <c r="P84" s="4" t="s">
        <v>55</v>
      </c>
      <c r="Q84" s="4" t="s">
        <v>56</v>
      </c>
      <c r="R84" s="4" t="s">
        <v>55</v>
      </c>
      <c r="S84" s="4" t="s">
        <v>55</v>
      </c>
      <c r="T84" s="4" t="s">
        <v>56</v>
      </c>
      <c r="U84" s="4"/>
      <c r="V84" s="4"/>
    </row>
    <row r="85" spans="1:22" s="40" customFormat="1" ht="30" customHeight="1" x14ac:dyDescent="0.35">
      <c r="A85" s="106" t="s">
        <v>289</v>
      </c>
      <c r="B85" s="52" t="s">
        <v>290</v>
      </c>
      <c r="C85" s="10" t="s">
        <v>293</v>
      </c>
      <c r="D85" s="4" t="s">
        <v>294</v>
      </c>
      <c r="E85" s="40" t="s">
        <v>104</v>
      </c>
      <c r="G85" s="40" t="s">
        <v>62</v>
      </c>
      <c r="H85" s="40" t="s">
        <v>62</v>
      </c>
      <c r="I85" s="40" t="s">
        <v>63</v>
      </c>
      <c r="J85" s="40" t="s">
        <v>52</v>
      </c>
      <c r="K85" s="40" t="s">
        <v>52</v>
      </c>
      <c r="L85" s="40" t="s">
        <v>54</v>
      </c>
      <c r="M85" s="40" t="s">
        <v>76</v>
      </c>
      <c r="N85" s="40" t="s">
        <v>53</v>
      </c>
      <c r="O85" s="40" t="s">
        <v>53</v>
      </c>
      <c r="P85" s="40" t="s">
        <v>55</v>
      </c>
      <c r="Q85" s="40" t="s">
        <v>56</v>
      </c>
      <c r="R85" s="40" t="s">
        <v>55</v>
      </c>
      <c r="S85" s="40" t="s">
        <v>55</v>
      </c>
      <c r="T85" s="40" t="s">
        <v>56</v>
      </c>
      <c r="V85" s="4" t="s">
        <v>295</v>
      </c>
    </row>
    <row r="86" spans="1:22" s="40" customFormat="1" ht="51.75" customHeight="1" x14ac:dyDescent="0.35">
      <c r="A86" s="103" t="s">
        <v>296</v>
      </c>
      <c r="B86" s="52" t="s">
        <v>57</v>
      </c>
      <c r="C86" s="10" t="s">
        <v>297</v>
      </c>
      <c r="D86" s="4" t="s">
        <v>298</v>
      </c>
      <c r="E86" s="4" t="s">
        <v>48</v>
      </c>
      <c r="F86" s="4" t="s">
        <v>61</v>
      </c>
      <c r="G86" s="4" t="s">
        <v>62</v>
      </c>
      <c r="H86" s="4" t="s">
        <v>177</v>
      </c>
      <c r="I86" s="4" t="s">
        <v>52</v>
      </c>
      <c r="J86" s="4" t="s">
        <v>53</v>
      </c>
      <c r="K86" s="4" t="s">
        <v>63</v>
      </c>
      <c r="L86" s="4" t="s">
        <v>69</v>
      </c>
      <c r="M86" s="4" t="s">
        <v>299</v>
      </c>
      <c r="N86" s="4" t="s">
        <v>53</v>
      </c>
      <c r="O86" s="4" t="s">
        <v>53</v>
      </c>
      <c r="P86" s="4" t="s">
        <v>55</v>
      </c>
      <c r="Q86" s="4" t="s">
        <v>56</v>
      </c>
      <c r="R86" s="4" t="s">
        <v>55</v>
      </c>
      <c r="S86" s="4" t="s">
        <v>55</v>
      </c>
      <c r="T86" s="4" t="s">
        <v>56</v>
      </c>
      <c r="U86" s="4"/>
      <c r="V86" s="4" t="s">
        <v>300</v>
      </c>
    </row>
    <row r="87" spans="1:22" s="40" customFormat="1" ht="33.75" customHeight="1" x14ac:dyDescent="0.35">
      <c r="A87" s="103" t="s">
        <v>296</v>
      </c>
      <c r="B87" s="52" t="s">
        <v>57</v>
      </c>
      <c r="C87" s="10" t="s">
        <v>301</v>
      </c>
      <c r="D87" s="4" t="s">
        <v>302</v>
      </c>
      <c r="E87" s="40" t="s">
        <v>87</v>
      </c>
      <c r="F87" s="40" t="s">
        <v>138</v>
      </c>
      <c r="G87" s="40" t="s">
        <v>50</v>
      </c>
      <c r="H87" s="40" t="s">
        <v>303</v>
      </c>
      <c r="I87" s="40" t="s">
        <v>52</v>
      </c>
      <c r="J87" s="40" t="s">
        <v>63</v>
      </c>
      <c r="K87" s="40" t="s">
        <v>79</v>
      </c>
      <c r="L87" s="40" t="s">
        <v>69</v>
      </c>
      <c r="M87" s="40" t="s">
        <v>53</v>
      </c>
      <c r="N87" s="40" t="s">
        <v>53</v>
      </c>
      <c r="O87" s="40" t="s">
        <v>53</v>
      </c>
      <c r="P87" s="40" t="s">
        <v>55</v>
      </c>
      <c r="Q87" s="40" t="s">
        <v>56</v>
      </c>
      <c r="R87" s="40" t="s">
        <v>55</v>
      </c>
      <c r="S87" s="40" t="s">
        <v>55</v>
      </c>
      <c r="T87" s="40" t="s">
        <v>56</v>
      </c>
      <c r="V87" s="4"/>
    </row>
    <row r="88" spans="1:22" s="40" customFormat="1" ht="54.75" customHeight="1" x14ac:dyDescent="0.35">
      <c r="A88" s="103" t="s">
        <v>296</v>
      </c>
      <c r="B88" s="52" t="s">
        <v>57</v>
      </c>
      <c r="C88" s="10" t="s">
        <v>304</v>
      </c>
      <c r="D88" s="4" t="s">
        <v>305</v>
      </c>
      <c r="E88" s="40" t="s">
        <v>87</v>
      </c>
      <c r="F88" s="40" t="s">
        <v>138</v>
      </c>
      <c r="G88" s="40" t="s">
        <v>62</v>
      </c>
      <c r="H88" s="40" t="s">
        <v>303</v>
      </c>
      <c r="I88" s="40" t="s">
        <v>52</v>
      </c>
      <c r="J88" s="40" t="s">
        <v>52</v>
      </c>
      <c r="K88" s="40" t="s">
        <v>79</v>
      </c>
      <c r="L88" s="40" t="s">
        <v>69</v>
      </c>
      <c r="M88" s="40" t="s">
        <v>53</v>
      </c>
      <c r="N88" s="40" t="s">
        <v>53</v>
      </c>
      <c r="O88" s="40" t="s">
        <v>53</v>
      </c>
      <c r="P88" s="40" t="s">
        <v>55</v>
      </c>
      <c r="Q88" s="40" t="s">
        <v>56</v>
      </c>
      <c r="R88" s="40" t="s">
        <v>55</v>
      </c>
      <c r="S88" s="40" t="s">
        <v>55</v>
      </c>
      <c r="T88" s="40" t="s">
        <v>56</v>
      </c>
      <c r="V88" s="4"/>
    </row>
    <row r="89" spans="1:22" s="40" customFormat="1" ht="30" customHeight="1" x14ac:dyDescent="0.35">
      <c r="A89" s="103" t="s">
        <v>296</v>
      </c>
      <c r="B89" s="52" t="s">
        <v>57</v>
      </c>
      <c r="C89" s="10" t="s">
        <v>306</v>
      </c>
      <c r="D89" s="4" t="s">
        <v>307</v>
      </c>
      <c r="E89" s="40" t="s">
        <v>48</v>
      </c>
      <c r="F89" s="40" t="s">
        <v>49</v>
      </c>
      <c r="G89" s="40" t="s">
        <v>50</v>
      </c>
      <c r="H89" s="40" t="s">
        <v>62</v>
      </c>
      <c r="I89" s="40" t="s">
        <v>63</v>
      </c>
      <c r="J89" s="40" t="s">
        <v>52</v>
      </c>
      <c r="K89" s="40" t="s">
        <v>52</v>
      </c>
      <c r="L89" s="40" t="s">
        <v>54</v>
      </c>
      <c r="M89" s="40" t="s">
        <v>53</v>
      </c>
      <c r="N89" s="40" t="s">
        <v>53</v>
      </c>
      <c r="O89" s="40" t="s">
        <v>53</v>
      </c>
      <c r="P89" s="40" t="s">
        <v>55</v>
      </c>
      <c r="Q89" s="40" t="s">
        <v>55</v>
      </c>
      <c r="R89" s="40" t="s">
        <v>55</v>
      </c>
      <c r="S89" s="40" t="s">
        <v>55</v>
      </c>
      <c r="T89" s="40" t="s">
        <v>55</v>
      </c>
      <c r="V89" s="4"/>
    </row>
    <row r="90" spans="1:22" s="40" customFormat="1" ht="30" customHeight="1" x14ac:dyDescent="0.35">
      <c r="A90" s="103" t="s">
        <v>296</v>
      </c>
      <c r="B90" s="52" t="s">
        <v>57</v>
      </c>
      <c r="C90" s="10" t="s">
        <v>308</v>
      </c>
      <c r="D90" s="4" t="s">
        <v>309</v>
      </c>
      <c r="E90" s="40" t="s">
        <v>87</v>
      </c>
      <c r="F90" s="40" t="s">
        <v>219</v>
      </c>
      <c r="G90" s="40" t="s">
        <v>62</v>
      </c>
      <c r="H90" s="40" t="s">
        <v>62</v>
      </c>
      <c r="I90" s="40" t="s">
        <v>52</v>
      </c>
      <c r="J90" s="40" t="s">
        <v>79</v>
      </c>
      <c r="K90" s="40" t="s">
        <v>79</v>
      </c>
      <c r="L90" s="40" t="s">
        <v>110</v>
      </c>
      <c r="M90" s="40" t="s">
        <v>53</v>
      </c>
      <c r="N90" s="40" t="s">
        <v>53</v>
      </c>
      <c r="O90" s="40" t="s">
        <v>53</v>
      </c>
      <c r="P90" s="40" t="s">
        <v>56</v>
      </c>
      <c r="Q90" s="40" t="s">
        <v>56</v>
      </c>
      <c r="R90" s="40" t="s">
        <v>55</v>
      </c>
      <c r="S90" s="40" t="s">
        <v>55</v>
      </c>
      <c r="T90" s="40" t="s">
        <v>56</v>
      </c>
      <c r="U90" s="40" t="s">
        <v>310</v>
      </c>
      <c r="V90" s="4" t="s">
        <v>311</v>
      </c>
    </row>
    <row r="91" spans="1:22" s="40" customFormat="1" ht="58" x14ac:dyDescent="0.35">
      <c r="A91" s="103" t="s">
        <v>296</v>
      </c>
      <c r="B91" s="52" t="s">
        <v>57</v>
      </c>
      <c r="C91" s="10" t="s">
        <v>312</v>
      </c>
      <c r="D91" s="4" t="s">
        <v>313</v>
      </c>
      <c r="E91" s="40" t="s">
        <v>48</v>
      </c>
      <c r="F91" s="40" t="s">
        <v>61</v>
      </c>
      <c r="G91" s="40" t="s">
        <v>62</v>
      </c>
      <c r="H91" s="40" t="s">
        <v>62</v>
      </c>
      <c r="I91" s="40" t="s">
        <v>52</v>
      </c>
      <c r="J91" s="40" t="s">
        <v>52</v>
      </c>
      <c r="K91" s="40" t="s">
        <v>52</v>
      </c>
      <c r="L91" s="40" t="s">
        <v>69</v>
      </c>
      <c r="M91" s="40" t="s">
        <v>76</v>
      </c>
      <c r="N91" s="40" t="s">
        <v>53</v>
      </c>
      <c r="O91" s="40" t="s">
        <v>53</v>
      </c>
      <c r="P91" s="40" t="s">
        <v>55</v>
      </c>
      <c r="Q91" s="40" t="s">
        <v>56</v>
      </c>
      <c r="R91" s="40" t="s">
        <v>55</v>
      </c>
      <c r="S91" s="40" t="s">
        <v>55</v>
      </c>
      <c r="T91" s="40" t="s">
        <v>56</v>
      </c>
      <c r="U91" s="40" t="s">
        <v>92</v>
      </c>
      <c r="V91" s="4" t="s">
        <v>314</v>
      </c>
    </row>
    <row r="92" spans="1:22" s="40" customFormat="1" ht="30" customHeight="1" x14ac:dyDescent="0.35">
      <c r="A92" s="104" t="s">
        <v>315</v>
      </c>
      <c r="B92" s="10" t="s">
        <v>146</v>
      </c>
      <c r="C92" s="10" t="s">
        <v>51</v>
      </c>
      <c r="D92" s="4" t="s">
        <v>316</v>
      </c>
      <c r="E92" s="4" t="s">
        <v>87</v>
      </c>
      <c r="F92" s="4" t="s">
        <v>49</v>
      </c>
      <c r="G92" s="4" t="s">
        <v>73</v>
      </c>
      <c r="H92" s="4" t="s">
        <v>74</v>
      </c>
      <c r="I92" s="4" t="s">
        <v>79</v>
      </c>
      <c r="J92" s="4" t="s">
        <v>52</v>
      </c>
      <c r="K92" s="4" t="s">
        <v>52</v>
      </c>
      <c r="L92" s="4" t="s">
        <v>69</v>
      </c>
      <c r="M92" s="4" t="s">
        <v>76</v>
      </c>
      <c r="N92" s="4" t="s">
        <v>76</v>
      </c>
      <c r="O92" s="4" t="s">
        <v>53</v>
      </c>
      <c r="P92" s="4"/>
      <c r="Q92" s="4" t="s">
        <v>56</v>
      </c>
      <c r="R92" s="4" t="s">
        <v>56</v>
      </c>
      <c r="S92" s="4" t="s">
        <v>56</v>
      </c>
      <c r="T92" s="4" t="s">
        <v>56</v>
      </c>
      <c r="U92" s="4" t="s">
        <v>317</v>
      </c>
      <c r="V92" s="4"/>
    </row>
    <row r="93" spans="1:22" s="40" customFormat="1" ht="30" customHeight="1" x14ac:dyDescent="0.35">
      <c r="A93" s="104" t="s">
        <v>315</v>
      </c>
      <c r="B93" s="10" t="s">
        <v>146</v>
      </c>
      <c r="C93" s="10" t="s">
        <v>129</v>
      </c>
      <c r="D93" s="4" t="s">
        <v>318</v>
      </c>
      <c r="E93" s="40" t="s">
        <v>104</v>
      </c>
      <c r="F93" s="40" t="s">
        <v>138</v>
      </c>
      <c r="G93" s="40" t="s">
        <v>73</v>
      </c>
      <c r="H93" s="40" t="s">
        <v>74</v>
      </c>
      <c r="I93" s="40" t="s">
        <v>52</v>
      </c>
      <c r="J93" s="40" t="s">
        <v>52</v>
      </c>
      <c r="K93" s="40" t="s">
        <v>63</v>
      </c>
      <c r="L93" s="40" t="s">
        <v>110</v>
      </c>
      <c r="M93" s="40" t="s">
        <v>76</v>
      </c>
      <c r="N93" s="40" t="s">
        <v>76</v>
      </c>
      <c r="O93" s="40" t="s">
        <v>53</v>
      </c>
      <c r="Q93" s="40" t="s">
        <v>56</v>
      </c>
      <c r="R93" s="40" t="s">
        <v>55</v>
      </c>
      <c r="S93" s="40" t="s">
        <v>55</v>
      </c>
      <c r="T93" s="40" t="s">
        <v>56</v>
      </c>
      <c r="V93" s="4"/>
    </row>
    <row r="94" spans="1:22" s="40" customFormat="1" ht="30" customHeight="1" x14ac:dyDescent="0.35">
      <c r="A94" s="104" t="s">
        <v>315</v>
      </c>
      <c r="B94" s="10" t="s">
        <v>146</v>
      </c>
      <c r="C94" s="10" t="s">
        <v>115</v>
      </c>
      <c r="D94" s="4" t="s">
        <v>319</v>
      </c>
      <c r="E94" s="40" t="s">
        <v>60</v>
      </c>
      <c r="F94" s="40" t="s">
        <v>138</v>
      </c>
      <c r="G94" s="40" t="s">
        <v>73</v>
      </c>
      <c r="I94" s="40" t="s">
        <v>63</v>
      </c>
      <c r="J94" s="40" t="s">
        <v>63</v>
      </c>
      <c r="K94" s="40" t="s">
        <v>79</v>
      </c>
      <c r="L94" s="40" t="s">
        <v>54</v>
      </c>
      <c r="M94" s="40" t="s">
        <v>53</v>
      </c>
      <c r="N94" s="40" t="s">
        <v>53</v>
      </c>
      <c r="O94" s="40" t="s">
        <v>53</v>
      </c>
      <c r="P94" s="40" t="s">
        <v>55</v>
      </c>
      <c r="Q94" s="40" t="s">
        <v>55</v>
      </c>
      <c r="R94" s="40" t="s">
        <v>55</v>
      </c>
      <c r="S94" s="40" t="s">
        <v>56</v>
      </c>
      <c r="T94" s="40" t="s">
        <v>55</v>
      </c>
      <c r="U94" s="40" t="s">
        <v>317</v>
      </c>
      <c r="V94" s="4"/>
    </row>
    <row r="95" spans="1:22" s="40" customFormat="1" ht="87" x14ac:dyDescent="0.35">
      <c r="A95" s="104" t="s">
        <v>315</v>
      </c>
      <c r="B95" s="10" t="s">
        <v>146</v>
      </c>
      <c r="C95" s="10" t="s">
        <v>107</v>
      </c>
      <c r="D95" s="4" t="s">
        <v>320</v>
      </c>
      <c r="E95" s="40" t="s">
        <v>104</v>
      </c>
      <c r="F95" s="40" t="s">
        <v>138</v>
      </c>
      <c r="G95" s="40" t="s">
        <v>73</v>
      </c>
      <c r="I95" s="40" t="s">
        <v>52</v>
      </c>
      <c r="J95" s="40" t="s">
        <v>52</v>
      </c>
      <c r="K95" s="40" t="s">
        <v>63</v>
      </c>
      <c r="L95" s="40" t="s">
        <v>69</v>
      </c>
      <c r="M95" s="40" t="s">
        <v>76</v>
      </c>
      <c r="N95" s="40" t="s">
        <v>76</v>
      </c>
      <c r="O95" s="40" t="s">
        <v>53</v>
      </c>
      <c r="P95" s="40" t="s">
        <v>56</v>
      </c>
      <c r="Q95" s="40" t="s">
        <v>55</v>
      </c>
      <c r="R95" s="40" t="s">
        <v>55</v>
      </c>
      <c r="S95" s="40" t="s">
        <v>55</v>
      </c>
      <c r="T95" s="40" t="s">
        <v>56</v>
      </c>
      <c r="U95" s="40" t="s">
        <v>135</v>
      </c>
      <c r="V95" s="4"/>
    </row>
    <row r="96" spans="1:22" s="40" customFormat="1" ht="90.75" customHeight="1" x14ac:dyDescent="0.35">
      <c r="A96" s="104" t="s">
        <v>315</v>
      </c>
      <c r="B96" s="10" t="s">
        <v>146</v>
      </c>
      <c r="C96" s="10" t="s">
        <v>321</v>
      </c>
      <c r="D96" s="4" t="s">
        <v>322</v>
      </c>
      <c r="E96" s="40" t="s">
        <v>48</v>
      </c>
      <c r="F96" s="40" t="s">
        <v>138</v>
      </c>
      <c r="G96" s="40" t="s">
        <v>73</v>
      </c>
      <c r="I96" s="40" t="s">
        <v>52</v>
      </c>
      <c r="J96" s="40" t="s">
        <v>63</v>
      </c>
      <c r="K96" s="40" t="s">
        <v>63</v>
      </c>
      <c r="L96" s="40" t="s">
        <v>54</v>
      </c>
      <c r="M96" s="40" t="s">
        <v>75</v>
      </c>
      <c r="N96" s="40" t="s">
        <v>76</v>
      </c>
      <c r="O96" s="40" t="s">
        <v>53</v>
      </c>
      <c r="P96" s="40" t="s">
        <v>56</v>
      </c>
      <c r="Q96" s="40" t="s">
        <v>56</v>
      </c>
      <c r="R96" s="40" t="s">
        <v>55</v>
      </c>
      <c r="S96" s="40" t="s">
        <v>55</v>
      </c>
      <c r="T96" s="40" t="s">
        <v>56</v>
      </c>
      <c r="U96" s="40" t="s">
        <v>323</v>
      </c>
      <c r="V96" s="4"/>
    </row>
    <row r="97" spans="1:22" s="40" customFormat="1" ht="30" customHeight="1" x14ac:dyDescent="0.35">
      <c r="A97" s="104" t="s">
        <v>315</v>
      </c>
      <c r="B97" s="10" t="s">
        <v>146</v>
      </c>
      <c r="C97" s="10" t="s">
        <v>324</v>
      </c>
      <c r="D97" s="4" t="s">
        <v>325</v>
      </c>
      <c r="E97" s="40" t="s">
        <v>104</v>
      </c>
      <c r="F97" s="40" t="s">
        <v>138</v>
      </c>
      <c r="G97" s="40" t="s">
        <v>73</v>
      </c>
      <c r="I97" s="40" t="s">
        <v>63</v>
      </c>
      <c r="J97" s="40" t="s">
        <v>63</v>
      </c>
      <c r="K97" s="40" t="s">
        <v>53</v>
      </c>
      <c r="L97" s="40" t="s">
        <v>54</v>
      </c>
      <c r="M97" s="40" t="s">
        <v>76</v>
      </c>
      <c r="N97" s="40" t="s">
        <v>53</v>
      </c>
      <c r="O97" s="40" t="s">
        <v>53</v>
      </c>
      <c r="P97" s="40" t="s">
        <v>56</v>
      </c>
      <c r="Q97" s="40" t="s">
        <v>56</v>
      </c>
      <c r="R97" s="40" t="s">
        <v>55</v>
      </c>
      <c r="S97" s="40" t="s">
        <v>55</v>
      </c>
      <c r="T97" s="40" t="s">
        <v>55</v>
      </c>
      <c r="V97" s="4"/>
    </row>
    <row r="98" spans="1:22" s="40" customFormat="1" ht="46.5" customHeight="1" x14ac:dyDescent="0.35">
      <c r="A98" s="107" t="s">
        <v>94</v>
      </c>
      <c r="B98" s="10" t="s">
        <v>83</v>
      </c>
      <c r="C98" s="10" t="s">
        <v>326</v>
      </c>
      <c r="D98" s="4" t="s">
        <v>327</v>
      </c>
      <c r="E98" s="4" t="s">
        <v>48</v>
      </c>
      <c r="F98" s="4" t="s">
        <v>61</v>
      </c>
      <c r="G98" s="4" t="s">
        <v>62</v>
      </c>
      <c r="H98" s="4" t="s">
        <v>62</v>
      </c>
      <c r="I98" s="4" t="s">
        <v>63</v>
      </c>
      <c r="J98" s="4" t="s">
        <v>52</v>
      </c>
      <c r="K98" s="4" t="s">
        <v>53</v>
      </c>
      <c r="L98" s="4" t="s">
        <v>54</v>
      </c>
      <c r="M98" s="4" t="s">
        <v>75</v>
      </c>
      <c r="N98" s="4" t="s">
        <v>75</v>
      </c>
      <c r="O98" s="4" t="s">
        <v>63</v>
      </c>
      <c r="P98" s="4" t="s">
        <v>56</v>
      </c>
      <c r="Q98" s="4" t="s">
        <v>56</v>
      </c>
      <c r="R98" s="4" t="s">
        <v>56</v>
      </c>
      <c r="S98" s="4" t="s">
        <v>55</v>
      </c>
      <c r="T98" s="4" t="s">
        <v>55</v>
      </c>
      <c r="U98" s="40" t="s">
        <v>328</v>
      </c>
      <c r="V98" s="4" t="s">
        <v>329</v>
      </c>
    </row>
    <row r="99" spans="1:22" s="40" customFormat="1" ht="72.5" x14ac:dyDescent="0.35">
      <c r="A99" s="107" t="s">
        <v>94</v>
      </c>
      <c r="B99" s="10" t="s">
        <v>83</v>
      </c>
      <c r="C99" s="10" t="s">
        <v>330</v>
      </c>
      <c r="D99" s="4" t="s">
        <v>331</v>
      </c>
      <c r="E99" s="4" t="s">
        <v>104</v>
      </c>
      <c r="F99" s="4" t="s">
        <v>61</v>
      </c>
      <c r="G99" s="4" t="s">
        <v>62</v>
      </c>
      <c r="H99" s="4" t="s">
        <v>62</v>
      </c>
      <c r="I99" s="4" t="s">
        <v>52</v>
      </c>
      <c r="J99" s="4" t="s">
        <v>53</v>
      </c>
      <c r="K99" s="4" t="s">
        <v>53</v>
      </c>
      <c r="L99" s="4" t="s">
        <v>69</v>
      </c>
      <c r="M99" s="4" t="s">
        <v>75</v>
      </c>
      <c r="N99" s="4" t="s">
        <v>75</v>
      </c>
      <c r="O99" s="4" t="s">
        <v>52</v>
      </c>
      <c r="P99" s="4" t="s">
        <v>56</v>
      </c>
      <c r="Q99" s="4" t="s">
        <v>56</v>
      </c>
      <c r="R99" s="4" t="s">
        <v>55</v>
      </c>
      <c r="S99" s="4" t="s">
        <v>55</v>
      </c>
      <c r="T99" s="4" t="s">
        <v>55</v>
      </c>
      <c r="U99" s="4" t="s">
        <v>328</v>
      </c>
      <c r="V99" s="4" t="s">
        <v>332</v>
      </c>
    </row>
    <row r="100" spans="1:22" s="40" customFormat="1" ht="58" x14ac:dyDescent="0.35">
      <c r="A100" s="107" t="s">
        <v>94</v>
      </c>
      <c r="B100" s="10" t="s">
        <v>83</v>
      </c>
      <c r="C100" s="10" t="s">
        <v>333</v>
      </c>
      <c r="D100" s="4" t="s">
        <v>334</v>
      </c>
      <c r="E100" s="4" t="s">
        <v>48</v>
      </c>
      <c r="F100" s="4" t="s">
        <v>61</v>
      </c>
      <c r="G100" s="4" t="s">
        <v>62</v>
      </c>
      <c r="H100" s="4" t="s">
        <v>62</v>
      </c>
      <c r="I100" s="4" t="s">
        <v>79</v>
      </c>
      <c r="J100" s="4" t="s">
        <v>79</v>
      </c>
      <c r="K100" s="4" t="s">
        <v>53</v>
      </c>
      <c r="L100" s="4" t="s">
        <v>69</v>
      </c>
      <c r="M100" s="4" t="s">
        <v>75</v>
      </c>
      <c r="N100" s="4" t="s">
        <v>75</v>
      </c>
      <c r="O100" s="4" t="s">
        <v>63</v>
      </c>
      <c r="P100" s="4" t="s">
        <v>56</v>
      </c>
      <c r="Q100" s="4" t="s">
        <v>56</v>
      </c>
      <c r="R100" s="4" t="s">
        <v>55</v>
      </c>
      <c r="S100" s="4" t="s">
        <v>55</v>
      </c>
      <c r="T100" s="4" t="s">
        <v>55</v>
      </c>
      <c r="U100" s="4" t="s">
        <v>335</v>
      </c>
      <c r="V100" s="4" t="s">
        <v>336</v>
      </c>
    </row>
    <row r="101" spans="1:22" s="40" customFormat="1" ht="47.25" customHeight="1" x14ac:dyDescent="0.35">
      <c r="A101" s="107" t="s">
        <v>94</v>
      </c>
      <c r="B101" s="10" t="s">
        <v>83</v>
      </c>
      <c r="C101" s="10" t="s">
        <v>337</v>
      </c>
      <c r="D101" s="4" t="s">
        <v>338</v>
      </c>
      <c r="E101" s="4" t="s">
        <v>151</v>
      </c>
      <c r="F101" s="4" t="s">
        <v>61</v>
      </c>
      <c r="G101" s="4" t="s">
        <v>62</v>
      </c>
      <c r="H101" s="4" t="s">
        <v>62</v>
      </c>
      <c r="I101" s="4" t="s">
        <v>63</v>
      </c>
      <c r="J101" s="4" t="s">
        <v>63</v>
      </c>
      <c r="K101" s="4" t="s">
        <v>53</v>
      </c>
      <c r="L101" s="4" t="s">
        <v>69</v>
      </c>
      <c r="M101" s="4" t="s">
        <v>53</v>
      </c>
      <c r="N101" s="4" t="s">
        <v>53</v>
      </c>
      <c r="O101" s="4" t="s">
        <v>63</v>
      </c>
      <c r="P101" s="4" t="s">
        <v>55</v>
      </c>
      <c r="Q101" s="4" t="s">
        <v>55</v>
      </c>
      <c r="R101" s="4" t="s">
        <v>55</v>
      </c>
      <c r="S101" s="4" t="s">
        <v>55</v>
      </c>
      <c r="T101" s="4" t="s">
        <v>55</v>
      </c>
      <c r="U101" s="4" t="s">
        <v>335</v>
      </c>
      <c r="V101" s="4" t="s">
        <v>339</v>
      </c>
    </row>
    <row r="102" spans="1:22" s="40" customFormat="1" ht="30" customHeight="1" x14ac:dyDescent="0.35">
      <c r="A102" s="107" t="s">
        <v>94</v>
      </c>
      <c r="B102" s="10" t="s">
        <v>83</v>
      </c>
      <c r="C102" s="10" t="s">
        <v>340</v>
      </c>
      <c r="D102" s="4" t="s">
        <v>341</v>
      </c>
      <c r="E102" s="4" t="s">
        <v>104</v>
      </c>
      <c r="F102" s="4" t="s">
        <v>49</v>
      </c>
      <c r="G102" s="4" t="s">
        <v>62</v>
      </c>
      <c r="H102" s="4" t="s">
        <v>62</v>
      </c>
      <c r="I102" s="4" t="s">
        <v>79</v>
      </c>
      <c r="J102" s="4" t="s">
        <v>79</v>
      </c>
      <c r="K102" s="4" t="s">
        <v>53</v>
      </c>
      <c r="L102" s="4" t="s">
        <v>110</v>
      </c>
      <c r="M102" s="4" t="s">
        <v>91</v>
      </c>
      <c r="N102" s="4" t="s">
        <v>91</v>
      </c>
      <c r="O102" s="4" t="s">
        <v>52</v>
      </c>
      <c r="P102" s="4" t="s">
        <v>56</v>
      </c>
      <c r="Q102" s="4" t="s">
        <v>56</v>
      </c>
      <c r="R102" s="4" t="s">
        <v>56</v>
      </c>
      <c r="S102" s="4" t="s">
        <v>55</v>
      </c>
      <c r="T102" s="4" t="s">
        <v>56</v>
      </c>
      <c r="U102" s="4" t="s">
        <v>335</v>
      </c>
      <c r="V102" s="4" t="s">
        <v>342</v>
      </c>
    </row>
    <row r="103" spans="1:22" s="40" customFormat="1" ht="30" customHeight="1" x14ac:dyDescent="0.35">
      <c r="A103" s="107" t="s">
        <v>94</v>
      </c>
      <c r="B103" s="10" t="s">
        <v>83</v>
      </c>
      <c r="C103" s="10" t="s">
        <v>343</v>
      </c>
      <c r="D103" s="4" t="s">
        <v>344</v>
      </c>
      <c r="E103" s="4" t="s">
        <v>104</v>
      </c>
      <c r="F103" s="4" t="s">
        <v>138</v>
      </c>
      <c r="G103" s="4" t="s">
        <v>62</v>
      </c>
      <c r="H103" s="4" t="s">
        <v>62</v>
      </c>
      <c r="I103" s="4" t="s">
        <v>79</v>
      </c>
      <c r="J103" s="4" t="s">
        <v>79</v>
      </c>
      <c r="K103" s="4" t="s">
        <v>53</v>
      </c>
      <c r="L103" s="4" t="s">
        <v>110</v>
      </c>
      <c r="M103" s="4" t="s">
        <v>75</v>
      </c>
      <c r="N103" s="4" t="s">
        <v>91</v>
      </c>
      <c r="O103" s="4" t="s">
        <v>79</v>
      </c>
      <c r="P103" s="4" t="s">
        <v>56</v>
      </c>
      <c r="Q103" s="4" t="s">
        <v>56</v>
      </c>
      <c r="R103" s="4" t="s">
        <v>56</v>
      </c>
      <c r="S103" s="4" t="s">
        <v>55</v>
      </c>
      <c r="T103" s="4" t="s">
        <v>56</v>
      </c>
      <c r="U103" s="4" t="s">
        <v>335</v>
      </c>
      <c r="V103" s="4" t="s">
        <v>345</v>
      </c>
    </row>
    <row r="104" spans="1:22" s="40" customFormat="1" ht="30" customHeight="1" x14ac:dyDescent="0.35">
      <c r="A104" s="107" t="s">
        <v>94</v>
      </c>
      <c r="B104" s="10" t="s">
        <v>83</v>
      </c>
      <c r="C104" s="10" t="s">
        <v>346</v>
      </c>
      <c r="D104" s="4" t="s">
        <v>347</v>
      </c>
      <c r="E104" s="4" t="s">
        <v>151</v>
      </c>
      <c r="F104" s="4" t="s">
        <v>61</v>
      </c>
      <c r="G104" s="4" t="s">
        <v>50</v>
      </c>
      <c r="H104" s="4" t="s">
        <v>287</v>
      </c>
      <c r="I104" s="4" t="s">
        <v>52</v>
      </c>
      <c r="J104" s="4" t="s">
        <v>63</v>
      </c>
      <c r="K104" s="4" t="s">
        <v>53</v>
      </c>
      <c r="L104" s="4" t="s">
        <v>69</v>
      </c>
      <c r="M104" s="4" t="s">
        <v>53</v>
      </c>
      <c r="N104" s="4" t="s">
        <v>53</v>
      </c>
      <c r="O104" s="4" t="s">
        <v>53</v>
      </c>
      <c r="P104" s="4" t="s">
        <v>55</v>
      </c>
      <c r="Q104" s="4" t="s">
        <v>55</v>
      </c>
      <c r="R104" s="4" t="s">
        <v>55</v>
      </c>
      <c r="S104" s="4" t="s">
        <v>55</v>
      </c>
      <c r="T104" s="4" t="s">
        <v>55</v>
      </c>
      <c r="U104" s="4"/>
      <c r="V104" s="4" t="s">
        <v>348</v>
      </c>
    </row>
    <row r="105" spans="1:22" s="40" customFormat="1" ht="30" customHeight="1" x14ac:dyDescent="0.35">
      <c r="A105" s="107" t="s">
        <v>94</v>
      </c>
      <c r="B105" s="10" t="s">
        <v>83</v>
      </c>
      <c r="C105" s="10" t="s">
        <v>349</v>
      </c>
      <c r="D105" s="4" t="s">
        <v>350</v>
      </c>
      <c r="E105" s="4" t="s">
        <v>104</v>
      </c>
      <c r="F105" s="4" t="s">
        <v>49</v>
      </c>
      <c r="G105" s="4" t="s">
        <v>62</v>
      </c>
      <c r="H105" s="4" t="s">
        <v>62</v>
      </c>
      <c r="I105" s="4" t="s">
        <v>52</v>
      </c>
      <c r="J105" s="4" t="s">
        <v>53</v>
      </c>
      <c r="K105" s="4" t="s">
        <v>53</v>
      </c>
      <c r="L105" s="4" t="s">
        <v>69</v>
      </c>
      <c r="M105" s="4" t="s">
        <v>75</v>
      </c>
      <c r="N105" s="4" t="s">
        <v>75</v>
      </c>
      <c r="O105" s="4" t="s">
        <v>63</v>
      </c>
      <c r="P105" s="4" t="s">
        <v>56</v>
      </c>
      <c r="Q105" s="4" t="s">
        <v>55</v>
      </c>
      <c r="R105" s="4" t="s">
        <v>55</v>
      </c>
      <c r="S105" s="4" t="s">
        <v>55</v>
      </c>
      <c r="T105" s="4" t="s">
        <v>55</v>
      </c>
      <c r="U105" s="4" t="s">
        <v>153</v>
      </c>
      <c r="V105" s="4"/>
    </row>
    <row r="106" spans="1:22" s="40" customFormat="1" ht="45" customHeight="1" x14ac:dyDescent="0.35">
      <c r="A106" s="110" t="s">
        <v>94</v>
      </c>
      <c r="B106" s="10" t="s">
        <v>351</v>
      </c>
      <c r="C106" s="10" t="s">
        <v>352</v>
      </c>
      <c r="D106" s="4" t="s">
        <v>353</v>
      </c>
      <c r="E106" s="4" t="s">
        <v>151</v>
      </c>
      <c r="F106" s="4" t="s">
        <v>61</v>
      </c>
      <c r="G106" s="4" t="s">
        <v>50</v>
      </c>
      <c r="H106" s="4" t="s">
        <v>287</v>
      </c>
      <c r="I106" s="4" t="s">
        <v>63</v>
      </c>
      <c r="J106" s="4" t="s">
        <v>63</v>
      </c>
      <c r="K106" s="4" t="s">
        <v>53</v>
      </c>
      <c r="L106" s="4" t="s">
        <v>110</v>
      </c>
      <c r="M106" s="4" t="s">
        <v>75</v>
      </c>
      <c r="N106" s="4" t="s">
        <v>75</v>
      </c>
      <c r="O106" s="4" t="s">
        <v>63</v>
      </c>
      <c r="P106" s="4" t="s">
        <v>56</v>
      </c>
      <c r="Q106" s="4" t="s">
        <v>56</v>
      </c>
      <c r="R106" s="4" t="s">
        <v>55</v>
      </c>
      <c r="S106" s="4" t="s">
        <v>55</v>
      </c>
      <c r="T106" s="4" t="s">
        <v>55</v>
      </c>
      <c r="U106" s="4"/>
      <c r="V106" s="4"/>
    </row>
    <row r="107" spans="1:22" s="40" customFormat="1" ht="30" customHeight="1" x14ac:dyDescent="0.35">
      <c r="A107" s="110" t="s">
        <v>94</v>
      </c>
      <c r="B107" s="10" t="s">
        <v>351</v>
      </c>
      <c r="C107" s="10" t="s">
        <v>354</v>
      </c>
      <c r="D107" s="4" t="s">
        <v>355</v>
      </c>
      <c r="E107" s="4" t="s">
        <v>48</v>
      </c>
      <c r="F107" s="4" t="s">
        <v>61</v>
      </c>
      <c r="G107" s="4" t="s">
        <v>62</v>
      </c>
      <c r="H107" s="4" t="s">
        <v>62</v>
      </c>
      <c r="I107" s="4" t="s">
        <v>52</v>
      </c>
      <c r="J107" s="4" t="s">
        <v>63</v>
      </c>
      <c r="K107" s="4" t="s">
        <v>53</v>
      </c>
      <c r="L107" s="4" t="s">
        <v>54</v>
      </c>
      <c r="M107" s="4" t="s">
        <v>75</v>
      </c>
      <c r="N107" s="4" t="s">
        <v>75</v>
      </c>
      <c r="O107" s="4" t="s">
        <v>53</v>
      </c>
      <c r="P107" s="4" t="s">
        <v>56</v>
      </c>
      <c r="Q107" s="4" t="s">
        <v>56</v>
      </c>
      <c r="R107" s="4" t="s">
        <v>55</v>
      </c>
      <c r="S107" s="4" t="s">
        <v>55</v>
      </c>
      <c r="T107" s="4" t="s">
        <v>55</v>
      </c>
      <c r="U107" s="4"/>
      <c r="V107" s="4"/>
    </row>
    <row r="108" spans="1:22" s="40" customFormat="1" ht="28.5" customHeight="1" x14ac:dyDescent="0.35">
      <c r="A108" s="100" t="s">
        <v>208</v>
      </c>
      <c r="B108" s="10" t="s">
        <v>356</v>
      </c>
      <c r="C108" s="10" t="s">
        <v>357</v>
      </c>
      <c r="D108" s="146" t="s">
        <v>358</v>
      </c>
      <c r="E108" s="4" t="s">
        <v>48</v>
      </c>
      <c r="F108" s="4" t="s">
        <v>198</v>
      </c>
      <c r="G108" s="4" t="s">
        <v>74</v>
      </c>
      <c r="H108" s="4" t="s">
        <v>139</v>
      </c>
      <c r="I108" s="4" t="s">
        <v>52</v>
      </c>
      <c r="J108" s="4" t="s">
        <v>52</v>
      </c>
      <c r="K108" s="4" t="s">
        <v>53</v>
      </c>
      <c r="L108" s="4" t="s">
        <v>69</v>
      </c>
      <c r="M108" s="4" t="s">
        <v>76</v>
      </c>
      <c r="N108" s="4" t="s">
        <v>53</v>
      </c>
      <c r="O108" s="4" t="s">
        <v>53</v>
      </c>
      <c r="P108" s="4" t="s">
        <v>55</v>
      </c>
      <c r="Q108" s="4" t="s">
        <v>56</v>
      </c>
      <c r="R108" s="4" t="s">
        <v>56</v>
      </c>
      <c r="S108" s="4" t="s">
        <v>55</v>
      </c>
      <c r="T108" s="4" t="s">
        <v>55</v>
      </c>
      <c r="U108" s="4" t="s">
        <v>92</v>
      </c>
      <c r="V108" s="4" t="s">
        <v>359</v>
      </c>
    </row>
    <row r="109" spans="1:22" s="40" customFormat="1" ht="43.5" x14ac:dyDescent="0.35">
      <c r="A109" s="100" t="s">
        <v>208</v>
      </c>
      <c r="B109" s="10" t="s">
        <v>356</v>
      </c>
      <c r="C109" s="10" t="s">
        <v>360</v>
      </c>
      <c r="D109" s="4" t="s">
        <v>361</v>
      </c>
      <c r="E109" s="40" t="s">
        <v>48</v>
      </c>
      <c r="F109" s="40" t="s">
        <v>49</v>
      </c>
      <c r="G109" s="40" t="s">
        <v>98</v>
      </c>
      <c r="H109" s="40" t="s">
        <v>139</v>
      </c>
      <c r="I109" s="40" t="s">
        <v>63</v>
      </c>
      <c r="J109" s="40" t="s">
        <v>63</v>
      </c>
      <c r="K109" s="40" t="s">
        <v>63</v>
      </c>
      <c r="L109" s="40" t="s">
        <v>69</v>
      </c>
      <c r="M109" s="40" t="s">
        <v>76</v>
      </c>
      <c r="N109" s="40" t="s">
        <v>53</v>
      </c>
      <c r="O109" s="40" t="s">
        <v>53</v>
      </c>
      <c r="P109" s="40" t="s">
        <v>55</v>
      </c>
      <c r="Q109" s="40" t="s">
        <v>56</v>
      </c>
      <c r="R109" s="40" t="s">
        <v>55</v>
      </c>
      <c r="S109" s="40" t="s">
        <v>55</v>
      </c>
      <c r="T109" s="40" t="s">
        <v>55</v>
      </c>
      <c r="U109" s="40" t="s">
        <v>92</v>
      </c>
      <c r="V109" s="4"/>
    </row>
    <row r="110" spans="1:22" s="40" customFormat="1" ht="45" customHeight="1" x14ac:dyDescent="0.35">
      <c r="A110" s="100" t="s">
        <v>208</v>
      </c>
      <c r="B110" s="10" t="s">
        <v>356</v>
      </c>
      <c r="C110" s="10" t="s">
        <v>362</v>
      </c>
      <c r="D110" s="4" t="s">
        <v>363</v>
      </c>
      <c r="E110" s="40" t="s">
        <v>87</v>
      </c>
      <c r="F110" s="40" t="s">
        <v>49</v>
      </c>
      <c r="G110" s="40" t="s">
        <v>50</v>
      </c>
      <c r="H110" s="40" t="s">
        <v>107</v>
      </c>
      <c r="I110" s="40" t="s">
        <v>63</v>
      </c>
      <c r="J110" s="40" t="s">
        <v>63</v>
      </c>
      <c r="K110" s="40" t="s">
        <v>63</v>
      </c>
      <c r="L110" s="40" t="s">
        <v>69</v>
      </c>
      <c r="M110" s="40" t="s">
        <v>76</v>
      </c>
      <c r="N110" s="40" t="s">
        <v>53</v>
      </c>
      <c r="O110" s="40" t="s">
        <v>53</v>
      </c>
      <c r="P110" s="40" t="s">
        <v>55</v>
      </c>
      <c r="Q110" s="40" t="s">
        <v>55</v>
      </c>
      <c r="R110" s="40" t="s">
        <v>55</v>
      </c>
      <c r="S110" s="40" t="s">
        <v>55</v>
      </c>
      <c r="T110" s="40" t="s">
        <v>56</v>
      </c>
      <c r="U110" s="40" t="s">
        <v>57</v>
      </c>
      <c r="V110" s="4"/>
    </row>
    <row r="111" spans="1:22" s="40" customFormat="1" ht="46.5" customHeight="1" x14ac:dyDescent="0.35">
      <c r="A111" s="100" t="s">
        <v>208</v>
      </c>
      <c r="B111" s="10" t="s">
        <v>356</v>
      </c>
      <c r="C111" s="10" t="s">
        <v>364</v>
      </c>
      <c r="D111" s="4" t="s">
        <v>365</v>
      </c>
      <c r="E111" s="40" t="s">
        <v>48</v>
      </c>
      <c r="F111" s="40" t="s">
        <v>49</v>
      </c>
      <c r="G111" s="40" t="s">
        <v>98</v>
      </c>
      <c r="H111" s="40" t="s">
        <v>139</v>
      </c>
      <c r="I111" s="40" t="s">
        <v>63</v>
      </c>
      <c r="J111" s="40" t="s">
        <v>52</v>
      </c>
      <c r="K111" s="40" t="s">
        <v>53</v>
      </c>
      <c r="L111" s="40" t="s">
        <v>69</v>
      </c>
      <c r="M111" s="40" t="s">
        <v>76</v>
      </c>
      <c r="N111" s="40" t="s">
        <v>53</v>
      </c>
      <c r="O111" s="40" t="s">
        <v>53</v>
      </c>
      <c r="P111" s="40" t="s">
        <v>55</v>
      </c>
      <c r="Q111" s="40" t="s">
        <v>56</v>
      </c>
      <c r="R111" s="40" t="s">
        <v>55</v>
      </c>
      <c r="S111" s="40" t="s">
        <v>55</v>
      </c>
      <c r="T111" s="40" t="s">
        <v>55</v>
      </c>
      <c r="U111" s="40" t="s">
        <v>92</v>
      </c>
      <c r="V111" s="4"/>
    </row>
    <row r="112" spans="1:22" s="40" customFormat="1" ht="29" x14ac:dyDescent="0.35">
      <c r="A112" s="100" t="s">
        <v>208</v>
      </c>
      <c r="B112" s="10" t="s">
        <v>356</v>
      </c>
      <c r="C112" s="10" t="s">
        <v>366</v>
      </c>
      <c r="D112" s="4" t="s">
        <v>367</v>
      </c>
      <c r="E112" s="40" t="s">
        <v>48</v>
      </c>
      <c r="F112" s="40" t="s">
        <v>49</v>
      </c>
      <c r="G112" s="40" t="s">
        <v>74</v>
      </c>
      <c r="H112" s="40" t="s">
        <v>74</v>
      </c>
      <c r="I112" s="40" t="s">
        <v>63</v>
      </c>
      <c r="J112" s="40" t="s">
        <v>63</v>
      </c>
      <c r="K112" s="40" t="s">
        <v>63</v>
      </c>
      <c r="L112" s="40" t="s">
        <v>54</v>
      </c>
      <c r="M112" s="40" t="s">
        <v>76</v>
      </c>
      <c r="N112" s="40" t="s">
        <v>53</v>
      </c>
      <c r="O112" s="40" t="s">
        <v>53</v>
      </c>
      <c r="P112" s="40" t="s">
        <v>55</v>
      </c>
      <c r="Q112" s="40" t="s">
        <v>56</v>
      </c>
      <c r="R112" s="40" t="s">
        <v>55</v>
      </c>
      <c r="S112" s="40" t="s">
        <v>55</v>
      </c>
      <c r="T112" s="40" t="s">
        <v>56</v>
      </c>
      <c r="U112" s="40" t="s">
        <v>57</v>
      </c>
      <c r="V112" s="4" t="s">
        <v>368</v>
      </c>
    </row>
    <row r="113" spans="1:22" s="40" customFormat="1" ht="45" customHeight="1" x14ac:dyDescent="0.35">
      <c r="A113" s="100" t="s">
        <v>208</v>
      </c>
      <c r="B113" s="10" t="s">
        <v>356</v>
      </c>
      <c r="C113" s="10" t="s">
        <v>369</v>
      </c>
      <c r="D113" s="4" t="s">
        <v>370</v>
      </c>
      <c r="E113" s="40" t="s">
        <v>48</v>
      </c>
      <c r="F113" s="40" t="s">
        <v>138</v>
      </c>
      <c r="G113" s="40" t="s">
        <v>50</v>
      </c>
      <c r="H113" s="40" t="s">
        <v>303</v>
      </c>
      <c r="I113" s="40" t="s">
        <v>63</v>
      </c>
      <c r="J113" s="40" t="s">
        <v>63</v>
      </c>
      <c r="K113" s="40" t="s">
        <v>53</v>
      </c>
      <c r="L113" s="40" t="s">
        <v>54</v>
      </c>
      <c r="M113" s="40" t="s">
        <v>53</v>
      </c>
      <c r="N113" s="40" t="s">
        <v>53</v>
      </c>
      <c r="O113" s="40" t="s">
        <v>53</v>
      </c>
      <c r="P113" s="40" t="s">
        <v>55</v>
      </c>
      <c r="Q113" s="40" t="s">
        <v>56</v>
      </c>
      <c r="R113" s="40" t="s">
        <v>55</v>
      </c>
      <c r="S113" s="40" t="s">
        <v>55</v>
      </c>
      <c r="T113" s="40" t="s">
        <v>55</v>
      </c>
      <c r="V113" s="4" t="s">
        <v>371</v>
      </c>
    </row>
    <row r="114" spans="1:22" s="40" customFormat="1" ht="29" x14ac:dyDescent="0.35">
      <c r="A114" s="100" t="s">
        <v>208</v>
      </c>
      <c r="B114" s="10" t="s">
        <v>356</v>
      </c>
      <c r="C114" s="10" t="s">
        <v>372</v>
      </c>
      <c r="D114" s="4" t="s">
        <v>373</v>
      </c>
      <c r="E114" s="40" t="s">
        <v>60</v>
      </c>
      <c r="F114" s="40" t="s">
        <v>61</v>
      </c>
      <c r="G114" s="40" t="s">
        <v>62</v>
      </c>
      <c r="H114" s="40" t="s">
        <v>160</v>
      </c>
      <c r="I114" s="40" t="s">
        <v>68</v>
      </c>
      <c r="J114" s="40" t="s">
        <v>53</v>
      </c>
      <c r="K114" s="40" t="s">
        <v>53</v>
      </c>
      <c r="L114" s="40" t="s">
        <v>54</v>
      </c>
      <c r="M114" s="40" t="s">
        <v>53</v>
      </c>
      <c r="N114" s="40" t="s">
        <v>53</v>
      </c>
      <c r="O114" s="40" t="s">
        <v>63</v>
      </c>
      <c r="P114" s="40" t="s">
        <v>55</v>
      </c>
      <c r="Q114" s="40" t="s">
        <v>55</v>
      </c>
      <c r="R114" s="40" t="s">
        <v>55</v>
      </c>
      <c r="S114" s="40" t="s">
        <v>55</v>
      </c>
      <c r="T114" s="40" t="s">
        <v>55</v>
      </c>
      <c r="U114" s="40" t="s">
        <v>92</v>
      </c>
      <c r="V114" s="4" t="s">
        <v>374</v>
      </c>
    </row>
    <row r="115" spans="1:22" s="40" customFormat="1" ht="29" x14ac:dyDescent="0.35">
      <c r="A115" s="98" t="s">
        <v>94</v>
      </c>
      <c r="B115" s="10" t="s">
        <v>323</v>
      </c>
      <c r="C115" s="10" t="s">
        <v>375</v>
      </c>
      <c r="D115" s="4" t="s">
        <v>376</v>
      </c>
      <c r="E115" s="4" t="s">
        <v>104</v>
      </c>
      <c r="F115" s="146" t="s">
        <v>198</v>
      </c>
      <c r="G115" s="4" t="s">
        <v>50</v>
      </c>
      <c r="H115" s="4" t="s">
        <v>74</v>
      </c>
      <c r="I115" s="4" t="s">
        <v>79</v>
      </c>
      <c r="J115" s="4" t="s">
        <v>79</v>
      </c>
      <c r="K115" s="4" t="s">
        <v>63</v>
      </c>
      <c r="L115" s="4" t="s">
        <v>69</v>
      </c>
      <c r="M115" s="4" t="s">
        <v>76</v>
      </c>
      <c r="N115" s="4" t="s">
        <v>53</v>
      </c>
      <c r="O115" s="4" t="s">
        <v>53</v>
      </c>
      <c r="P115" s="4"/>
      <c r="Q115" s="4" t="s">
        <v>56</v>
      </c>
      <c r="R115" s="4" t="s">
        <v>55</v>
      </c>
      <c r="S115" s="4" t="s">
        <v>55</v>
      </c>
      <c r="T115" s="4" t="s">
        <v>56</v>
      </c>
      <c r="U115" s="4"/>
      <c r="V115" s="4"/>
    </row>
    <row r="116" spans="1:22" s="40" customFormat="1" ht="87" x14ac:dyDescent="0.35">
      <c r="A116" s="98" t="s">
        <v>94</v>
      </c>
      <c r="B116" s="10" t="s">
        <v>323</v>
      </c>
      <c r="C116" s="10" t="s">
        <v>377</v>
      </c>
      <c r="D116" s="4" t="s">
        <v>378</v>
      </c>
      <c r="E116" s="4" t="s">
        <v>60</v>
      </c>
      <c r="F116" s="4" t="s">
        <v>61</v>
      </c>
      <c r="G116" s="4" t="s">
        <v>62</v>
      </c>
      <c r="H116" s="4" t="s">
        <v>62</v>
      </c>
      <c r="I116" s="4" t="s">
        <v>63</v>
      </c>
      <c r="J116" s="4" t="s">
        <v>52</v>
      </c>
      <c r="K116" s="4" t="s">
        <v>63</v>
      </c>
      <c r="L116" s="4" t="s">
        <v>54</v>
      </c>
      <c r="M116" s="4" t="s">
        <v>76</v>
      </c>
      <c r="N116" s="4" t="s">
        <v>53</v>
      </c>
      <c r="O116" s="4" t="s">
        <v>53</v>
      </c>
      <c r="P116" s="4" t="s">
        <v>55</v>
      </c>
      <c r="Q116" s="4" t="s">
        <v>56</v>
      </c>
      <c r="R116" s="4" t="s">
        <v>55</v>
      </c>
      <c r="S116" s="4" t="s">
        <v>55</v>
      </c>
      <c r="T116" s="4" t="s">
        <v>55</v>
      </c>
      <c r="U116" s="4" t="s">
        <v>379</v>
      </c>
      <c r="V116" s="4"/>
    </row>
    <row r="117" spans="1:22" s="40" customFormat="1" x14ac:dyDescent="0.35">
      <c r="A117" s="98" t="s">
        <v>94</v>
      </c>
      <c r="B117" s="10" t="s">
        <v>323</v>
      </c>
      <c r="C117" s="10" t="s">
        <v>380</v>
      </c>
      <c r="D117" s="4" t="s">
        <v>381</v>
      </c>
      <c r="E117" s="4" t="s">
        <v>60</v>
      </c>
      <c r="F117" s="4" t="s">
        <v>49</v>
      </c>
      <c r="G117" s="4" t="s">
        <v>73</v>
      </c>
      <c r="H117" s="4" t="s">
        <v>74</v>
      </c>
      <c r="I117" s="4" t="s">
        <v>63</v>
      </c>
      <c r="J117" s="4" t="s">
        <v>79</v>
      </c>
      <c r="K117" s="4" t="s">
        <v>52</v>
      </c>
      <c r="L117" s="4" t="s">
        <v>54</v>
      </c>
      <c r="M117" s="4" t="s">
        <v>76</v>
      </c>
      <c r="N117" s="4" t="s">
        <v>53</v>
      </c>
      <c r="O117" s="4" t="s">
        <v>53</v>
      </c>
      <c r="P117" s="4" t="s">
        <v>55</v>
      </c>
      <c r="Q117" s="4" t="s">
        <v>55</v>
      </c>
      <c r="R117" s="4" t="s">
        <v>55</v>
      </c>
      <c r="S117" s="4" t="s">
        <v>55</v>
      </c>
      <c r="T117" s="4" t="s">
        <v>55</v>
      </c>
      <c r="U117" s="4"/>
      <c r="V117" s="4"/>
    </row>
    <row r="118" spans="1:22" s="40" customFormat="1" ht="44.25" customHeight="1" x14ac:dyDescent="0.35">
      <c r="A118" s="98" t="s">
        <v>94</v>
      </c>
      <c r="B118" s="10" t="s">
        <v>323</v>
      </c>
      <c r="C118" s="10" t="s">
        <v>382</v>
      </c>
      <c r="D118" s="4" t="s">
        <v>383</v>
      </c>
      <c r="E118" s="4" t="s">
        <v>60</v>
      </c>
      <c r="F118" s="4" t="s">
        <v>61</v>
      </c>
      <c r="G118" s="4" t="s">
        <v>62</v>
      </c>
      <c r="H118" s="4" t="s">
        <v>62</v>
      </c>
      <c r="I118" s="4" t="s">
        <v>63</v>
      </c>
      <c r="J118" s="4" t="s">
        <v>63</v>
      </c>
      <c r="K118" s="4" t="s">
        <v>63</v>
      </c>
      <c r="L118" s="4" t="s">
        <v>69</v>
      </c>
      <c r="M118" s="4" t="s">
        <v>76</v>
      </c>
      <c r="N118" s="4" t="s">
        <v>75</v>
      </c>
      <c r="O118" s="4" t="s">
        <v>53</v>
      </c>
      <c r="P118" s="4" t="s">
        <v>56</v>
      </c>
      <c r="Q118" s="4" t="s">
        <v>56</v>
      </c>
      <c r="R118" s="4" t="s">
        <v>56</v>
      </c>
      <c r="S118" s="4" t="s">
        <v>55</v>
      </c>
      <c r="T118" s="4" t="s">
        <v>56</v>
      </c>
      <c r="U118" s="4" t="s">
        <v>153</v>
      </c>
      <c r="V118" s="4"/>
    </row>
    <row r="119" spans="1:22" s="40" customFormat="1" ht="45" customHeight="1" x14ac:dyDescent="0.35">
      <c r="A119" s="98" t="s">
        <v>94</v>
      </c>
      <c r="B119" s="10" t="s">
        <v>323</v>
      </c>
      <c r="C119" s="10" t="s">
        <v>384</v>
      </c>
      <c r="D119" s="4" t="s">
        <v>385</v>
      </c>
      <c r="E119" s="4" t="s">
        <v>104</v>
      </c>
      <c r="F119" s="4" t="s">
        <v>61</v>
      </c>
      <c r="G119" s="4" t="s">
        <v>62</v>
      </c>
      <c r="H119" s="4" t="s">
        <v>62</v>
      </c>
      <c r="I119" s="4" t="s">
        <v>52</v>
      </c>
      <c r="J119" s="4" t="s">
        <v>79</v>
      </c>
      <c r="K119" s="4" t="s">
        <v>63</v>
      </c>
      <c r="L119" s="4" t="s">
        <v>69</v>
      </c>
      <c r="M119" s="4" t="s">
        <v>76</v>
      </c>
      <c r="N119" s="4" t="s">
        <v>53</v>
      </c>
      <c r="O119" s="4" t="s">
        <v>53</v>
      </c>
      <c r="P119" s="4" t="s">
        <v>55</v>
      </c>
      <c r="Q119" s="4" t="s">
        <v>55</v>
      </c>
      <c r="R119" s="4" t="s">
        <v>55</v>
      </c>
      <c r="S119" s="4" t="s">
        <v>55</v>
      </c>
      <c r="T119" s="4" t="s">
        <v>56</v>
      </c>
      <c r="U119" s="4"/>
      <c r="V119" s="4"/>
    </row>
    <row r="120" spans="1:22" s="40" customFormat="1" ht="29" x14ac:dyDescent="0.35">
      <c r="A120" s="98" t="s">
        <v>94</v>
      </c>
      <c r="B120" s="10" t="s">
        <v>323</v>
      </c>
      <c r="C120" s="10" t="s">
        <v>386</v>
      </c>
      <c r="D120" s="4" t="s">
        <v>387</v>
      </c>
      <c r="E120" s="4" t="s">
        <v>60</v>
      </c>
      <c r="F120" s="4" t="s">
        <v>61</v>
      </c>
      <c r="G120" s="4" t="s">
        <v>62</v>
      </c>
      <c r="H120" s="4" t="s">
        <v>62</v>
      </c>
      <c r="I120" s="4" t="s">
        <v>63</v>
      </c>
      <c r="J120" s="4" t="s">
        <v>52</v>
      </c>
      <c r="K120" s="4" t="s">
        <v>52</v>
      </c>
      <c r="L120" s="4" t="s">
        <v>54</v>
      </c>
      <c r="M120" s="4" t="s">
        <v>53</v>
      </c>
      <c r="N120" s="4" t="s">
        <v>53</v>
      </c>
      <c r="O120" s="4" t="s">
        <v>53</v>
      </c>
      <c r="P120" s="4" t="s">
        <v>55</v>
      </c>
      <c r="Q120" s="4" t="s">
        <v>55</v>
      </c>
      <c r="R120" s="4" t="s">
        <v>55</v>
      </c>
      <c r="S120" s="4" t="s">
        <v>55</v>
      </c>
      <c r="T120" s="4" t="s">
        <v>55</v>
      </c>
      <c r="U120" s="4"/>
      <c r="V120" s="4"/>
    </row>
    <row r="121" spans="1:22" s="40" customFormat="1" ht="15" customHeight="1" x14ac:dyDescent="0.35">
      <c r="A121" s="98" t="s">
        <v>94</v>
      </c>
      <c r="B121" s="10" t="s">
        <v>323</v>
      </c>
      <c r="C121" s="10" t="s">
        <v>388</v>
      </c>
      <c r="D121" s="4" t="s">
        <v>389</v>
      </c>
      <c r="E121" s="4" t="s">
        <v>60</v>
      </c>
      <c r="F121" s="4" t="s">
        <v>61</v>
      </c>
      <c r="G121" s="4" t="s">
        <v>62</v>
      </c>
      <c r="H121" s="4" t="s">
        <v>62</v>
      </c>
      <c r="I121" s="4" t="s">
        <v>52</v>
      </c>
      <c r="J121" s="4" t="s">
        <v>79</v>
      </c>
      <c r="K121" s="4" t="s">
        <v>52</v>
      </c>
      <c r="L121" s="4" t="s">
        <v>69</v>
      </c>
      <c r="M121" s="4" t="s">
        <v>91</v>
      </c>
      <c r="N121" s="4" t="s">
        <v>75</v>
      </c>
      <c r="O121" s="4" t="s">
        <v>52</v>
      </c>
      <c r="P121" s="4" t="s">
        <v>56</v>
      </c>
      <c r="Q121" s="4" t="s">
        <v>56</v>
      </c>
      <c r="R121" s="4" t="s">
        <v>56</v>
      </c>
      <c r="S121" s="4" t="s">
        <v>55</v>
      </c>
      <c r="T121" s="4" t="s">
        <v>56</v>
      </c>
      <c r="U121" s="4" t="s">
        <v>92</v>
      </c>
      <c r="V121" s="4"/>
    </row>
    <row r="122" spans="1:22" s="40" customFormat="1" ht="75" customHeight="1" x14ac:dyDescent="0.35">
      <c r="A122" s="98" t="s">
        <v>94</v>
      </c>
      <c r="B122" s="10" t="s">
        <v>323</v>
      </c>
      <c r="C122" s="10" t="s">
        <v>390</v>
      </c>
      <c r="D122" s="4" t="s">
        <v>391</v>
      </c>
      <c r="E122" s="4" t="s">
        <v>104</v>
      </c>
      <c r="F122" s="4" t="s">
        <v>49</v>
      </c>
      <c r="G122" s="4" t="s">
        <v>73</v>
      </c>
      <c r="H122" s="4" t="s">
        <v>74</v>
      </c>
      <c r="I122" s="4" t="s">
        <v>79</v>
      </c>
      <c r="J122" s="4" t="s">
        <v>79</v>
      </c>
      <c r="K122" s="4" t="s">
        <v>52</v>
      </c>
      <c r="L122" s="4" t="s">
        <v>110</v>
      </c>
      <c r="M122" s="4" t="s">
        <v>76</v>
      </c>
      <c r="N122" s="4" t="s">
        <v>53</v>
      </c>
      <c r="O122" s="4" t="s">
        <v>53</v>
      </c>
      <c r="P122" s="4" t="s">
        <v>55</v>
      </c>
      <c r="Q122" s="4" t="s">
        <v>56</v>
      </c>
      <c r="R122" s="4" t="s">
        <v>55</v>
      </c>
      <c r="S122" s="4" t="s">
        <v>56</v>
      </c>
      <c r="T122" s="4" t="s">
        <v>56</v>
      </c>
      <c r="U122" s="4" t="s">
        <v>146</v>
      </c>
      <c r="V122" s="4"/>
    </row>
    <row r="123" spans="1:22" s="40" customFormat="1" ht="90" customHeight="1" x14ac:dyDescent="0.35">
      <c r="A123" s="98" t="s">
        <v>94</v>
      </c>
      <c r="B123" s="10" t="s">
        <v>323</v>
      </c>
      <c r="C123" s="10" t="s">
        <v>392</v>
      </c>
      <c r="D123" s="4" t="s">
        <v>393</v>
      </c>
      <c r="E123" s="4" t="s">
        <v>104</v>
      </c>
      <c r="F123" s="4" t="s">
        <v>49</v>
      </c>
      <c r="G123" s="4" t="s">
        <v>74</v>
      </c>
      <c r="H123" s="4" t="s">
        <v>74</v>
      </c>
      <c r="I123" s="4" t="s">
        <v>79</v>
      </c>
      <c r="J123" s="4" t="s">
        <v>79</v>
      </c>
      <c r="K123" s="4" t="s">
        <v>52</v>
      </c>
      <c r="L123" s="4" t="s">
        <v>69</v>
      </c>
      <c r="M123" s="4" t="s">
        <v>76</v>
      </c>
      <c r="N123" s="4" t="s">
        <v>76</v>
      </c>
      <c r="O123" s="4" t="s">
        <v>53</v>
      </c>
      <c r="P123" s="4" t="s">
        <v>55</v>
      </c>
      <c r="Q123" s="4" t="s">
        <v>55</v>
      </c>
      <c r="R123" s="4" t="s">
        <v>55</v>
      </c>
      <c r="S123" s="4" t="s">
        <v>55</v>
      </c>
      <c r="T123" s="4" t="s">
        <v>55</v>
      </c>
      <c r="U123" s="4"/>
      <c r="V123" s="4"/>
    </row>
    <row r="124" spans="1:22" s="40" customFormat="1" ht="90" customHeight="1" x14ac:dyDescent="0.35">
      <c r="A124" s="98" t="s">
        <v>94</v>
      </c>
      <c r="B124" s="10" t="s">
        <v>323</v>
      </c>
      <c r="C124" s="10" t="s">
        <v>394</v>
      </c>
      <c r="D124" s="4" t="s">
        <v>395</v>
      </c>
      <c r="E124" s="4" t="s">
        <v>60</v>
      </c>
      <c r="F124" s="4" t="s">
        <v>61</v>
      </c>
      <c r="G124" s="4" t="s">
        <v>62</v>
      </c>
      <c r="H124" s="4" t="s">
        <v>62</v>
      </c>
      <c r="I124" s="4" t="s">
        <v>63</v>
      </c>
      <c r="J124" s="4" t="s">
        <v>79</v>
      </c>
      <c r="K124" s="4" t="s">
        <v>52</v>
      </c>
      <c r="L124" s="4" t="s">
        <v>69</v>
      </c>
      <c r="M124" s="4" t="s">
        <v>76</v>
      </c>
      <c r="N124" s="4" t="s">
        <v>53</v>
      </c>
      <c r="O124" s="4" t="s">
        <v>53</v>
      </c>
      <c r="P124" s="4" t="s">
        <v>55</v>
      </c>
      <c r="Q124" s="4" t="s">
        <v>56</v>
      </c>
      <c r="R124" s="4" t="s">
        <v>56</v>
      </c>
      <c r="S124" s="4" t="s">
        <v>56</v>
      </c>
      <c r="T124" s="4" t="s">
        <v>56</v>
      </c>
      <c r="U124" s="4" t="s">
        <v>317</v>
      </c>
      <c r="V124" s="4"/>
    </row>
    <row r="125" spans="1:22" s="40" customFormat="1" ht="90" customHeight="1" x14ac:dyDescent="0.35">
      <c r="A125" s="98" t="s">
        <v>94</v>
      </c>
      <c r="B125" s="10" t="s">
        <v>323</v>
      </c>
      <c r="C125" s="10" t="s">
        <v>396</v>
      </c>
      <c r="D125" s="4" t="s">
        <v>397</v>
      </c>
      <c r="E125" s="4" t="s">
        <v>60</v>
      </c>
      <c r="F125" s="4" t="s">
        <v>61</v>
      </c>
      <c r="G125" s="4" t="s">
        <v>62</v>
      </c>
      <c r="H125" s="4" t="s">
        <v>62</v>
      </c>
      <c r="I125" s="4" t="s">
        <v>68</v>
      </c>
      <c r="J125" s="4" t="s">
        <v>53</v>
      </c>
      <c r="K125" s="4" t="s">
        <v>53</v>
      </c>
      <c r="L125" s="4" t="s">
        <v>54</v>
      </c>
      <c r="M125" s="4" t="s">
        <v>76</v>
      </c>
      <c r="N125" s="4" t="s">
        <v>53</v>
      </c>
      <c r="O125" s="4" t="s">
        <v>53</v>
      </c>
      <c r="P125" s="4" t="s">
        <v>55</v>
      </c>
      <c r="Q125" s="4" t="s">
        <v>56</v>
      </c>
      <c r="R125" s="4" t="s">
        <v>55</v>
      </c>
      <c r="S125" s="4" t="s">
        <v>55</v>
      </c>
      <c r="T125" s="4" t="s">
        <v>55</v>
      </c>
      <c r="U125" s="4" t="s">
        <v>45</v>
      </c>
      <c r="V125" s="4"/>
    </row>
    <row r="126" spans="1:22" s="40" customFormat="1" ht="105" customHeight="1" x14ac:dyDescent="0.35">
      <c r="A126" s="105" t="s">
        <v>152</v>
      </c>
      <c r="B126" s="10" t="s">
        <v>398</v>
      </c>
      <c r="C126" s="10" t="s">
        <v>399</v>
      </c>
      <c r="D126" s="4" t="s">
        <v>400</v>
      </c>
      <c r="E126" s="4" t="s">
        <v>151</v>
      </c>
      <c r="F126" s="4" t="s">
        <v>49</v>
      </c>
      <c r="G126" s="4" t="s">
        <v>62</v>
      </c>
      <c r="H126" s="4" t="s">
        <v>62</v>
      </c>
      <c r="I126" s="4" t="s">
        <v>63</v>
      </c>
      <c r="J126" s="4" t="s">
        <v>63</v>
      </c>
      <c r="K126" s="4" t="s">
        <v>53</v>
      </c>
      <c r="L126" s="4" t="s">
        <v>54</v>
      </c>
      <c r="M126" s="4" t="s">
        <v>76</v>
      </c>
      <c r="N126" s="4" t="s">
        <v>76</v>
      </c>
      <c r="O126" s="4" t="s">
        <v>53</v>
      </c>
      <c r="P126" s="4" t="s">
        <v>55</v>
      </c>
      <c r="Q126" s="4" t="s">
        <v>56</v>
      </c>
      <c r="R126" s="4" t="s">
        <v>55</v>
      </c>
      <c r="S126" s="4" t="s">
        <v>55</v>
      </c>
      <c r="T126" s="4" t="s">
        <v>55</v>
      </c>
      <c r="U126" s="4"/>
      <c r="V126" s="4"/>
    </row>
    <row r="127" spans="1:22" s="40" customFormat="1" ht="45" customHeight="1" x14ac:dyDescent="0.35">
      <c r="A127" s="105" t="s">
        <v>152</v>
      </c>
      <c r="B127" s="10" t="s">
        <v>398</v>
      </c>
      <c r="C127" s="10" t="s">
        <v>401</v>
      </c>
      <c r="D127" s="4" t="s">
        <v>402</v>
      </c>
      <c r="E127" s="40" t="s">
        <v>104</v>
      </c>
      <c r="F127" s="40" t="s">
        <v>49</v>
      </c>
      <c r="G127" s="40" t="s">
        <v>62</v>
      </c>
      <c r="H127" s="40" t="s">
        <v>62</v>
      </c>
      <c r="I127" s="40" t="s">
        <v>63</v>
      </c>
      <c r="J127" s="40" t="s">
        <v>52</v>
      </c>
      <c r="K127" s="40" t="s">
        <v>53</v>
      </c>
      <c r="L127" s="40" t="s">
        <v>69</v>
      </c>
      <c r="M127" s="40" t="s">
        <v>75</v>
      </c>
      <c r="N127" s="40" t="s">
        <v>76</v>
      </c>
      <c r="O127" s="40" t="s">
        <v>53</v>
      </c>
      <c r="P127" s="40" t="s">
        <v>55</v>
      </c>
      <c r="Q127" s="40" t="s">
        <v>56</v>
      </c>
      <c r="R127" s="40" t="s">
        <v>55</v>
      </c>
      <c r="S127" s="40" t="s">
        <v>55</v>
      </c>
      <c r="T127" s="40" t="s">
        <v>55</v>
      </c>
      <c r="V127" s="4"/>
    </row>
    <row r="128" spans="1:22" s="40" customFormat="1" ht="105" customHeight="1" x14ac:dyDescent="0.35">
      <c r="A128" s="105" t="s">
        <v>152</v>
      </c>
      <c r="B128" s="10" t="s">
        <v>398</v>
      </c>
      <c r="C128" s="10" t="s">
        <v>403</v>
      </c>
      <c r="D128" s="4" t="s">
        <v>404</v>
      </c>
      <c r="E128" s="40" t="s">
        <v>104</v>
      </c>
      <c r="F128" s="40" t="s">
        <v>61</v>
      </c>
      <c r="G128" s="40" t="s">
        <v>62</v>
      </c>
      <c r="H128" s="40" t="s">
        <v>62</v>
      </c>
      <c r="I128" s="40" t="s">
        <v>63</v>
      </c>
      <c r="J128" s="40" t="s">
        <v>63</v>
      </c>
      <c r="K128" s="40" t="s">
        <v>53</v>
      </c>
      <c r="L128" s="40" t="s">
        <v>69</v>
      </c>
      <c r="M128" s="40" t="s">
        <v>75</v>
      </c>
      <c r="N128" s="40" t="s">
        <v>76</v>
      </c>
      <c r="O128" s="40" t="s">
        <v>63</v>
      </c>
      <c r="P128" s="40" t="s">
        <v>56</v>
      </c>
      <c r="Q128" s="40" t="s">
        <v>56</v>
      </c>
      <c r="R128" s="40" t="s">
        <v>55</v>
      </c>
      <c r="S128" s="40" t="s">
        <v>55</v>
      </c>
      <c r="T128" s="40" t="s">
        <v>55</v>
      </c>
      <c r="U128" s="40" t="s">
        <v>153</v>
      </c>
      <c r="V128" s="4"/>
    </row>
    <row r="129" spans="3:21" x14ac:dyDescent="0.35">
      <c r="C129" s="1"/>
      <c r="U129" s="40"/>
    </row>
  </sheetData>
  <autoFilter ref="A7:X7" xr:uid="{E8E0C8FB-4043-49C9-893A-E75C7E1530CD}">
    <sortState xmlns:xlrd2="http://schemas.microsoft.com/office/spreadsheetml/2017/richdata2" ref="A8:X128">
      <sortCondition ref="C7"/>
    </sortState>
  </autoFilter>
  <phoneticPr fontId="6" type="noConversion"/>
  <pageMargins left="0.7" right="0.7" top="0.75" bottom="0.75" header="0.3" footer="0.3"/>
  <pageSetup paperSize="3" scale="35" fitToHeight="0" orientation="landscape" r:id="rId1"/>
  <extLst>
    <ext xmlns:x14="http://schemas.microsoft.com/office/spreadsheetml/2009/9/main" uri="{CCE6A557-97BC-4b89-ADB6-D9C93CAAB3DF}">
      <x14:dataValidations xmlns:xm="http://schemas.microsoft.com/office/excel/2006/main" count="17">
        <x14:dataValidation type="list" allowBlank="1" showInputMessage="1" showErrorMessage="1" promptTitle="DROPDOWN" prompt="SELECT ONE" xr:uid="{6B25F75E-5E9E-45BD-AF98-E3DD62925867}">
          <x14:formula1>
            <xm:f>'DATA VALIDATION LIST'!$B$4:$B$9</xm:f>
          </x14:formula1>
          <xm:sqref>F8:F128</xm:sqref>
        </x14:dataValidation>
        <x14:dataValidation type="list" allowBlank="1" showInputMessage="1" showErrorMessage="1" xr:uid="{99821B7A-4662-4F46-A215-7D5E5DE1CFA6}">
          <x14:formula1>
            <xm:f>'DATA VALIDATION LIST'!$C$4:$C$10</xm:f>
          </x14:formula1>
          <xm:sqref>G8:G128</xm:sqref>
        </x14:dataValidation>
        <x14:dataValidation type="list" allowBlank="1" showInputMessage="1" showErrorMessage="1" xr:uid="{3A31AB33-DB3F-4E7D-95B9-6781AA23CD11}">
          <x14:formula1>
            <xm:f>'DATA VALIDATION LIST'!$D$4:$D$16</xm:f>
          </x14:formula1>
          <xm:sqref>H8:H128</xm:sqref>
        </x14:dataValidation>
        <x14:dataValidation type="list" allowBlank="1" showInputMessage="1" showErrorMessage="1" xr:uid="{27FEC5C6-4343-450B-82D3-CEFE42813869}">
          <x14:formula1>
            <xm:f>'DATA VALIDATION LIST'!$E$4:$E$7</xm:f>
          </x14:formula1>
          <xm:sqref>I8:I128</xm:sqref>
        </x14:dataValidation>
        <x14:dataValidation type="list" allowBlank="1" showInputMessage="1" showErrorMessage="1" xr:uid="{D595B0D1-52C4-49E1-AEAF-DAEB80AFF7A0}">
          <x14:formula1>
            <xm:f>'DATA VALIDATION LIST'!$F$4:$F$7</xm:f>
          </x14:formula1>
          <xm:sqref>J8:J128</xm:sqref>
        </x14:dataValidation>
        <x14:dataValidation type="list" allowBlank="1" showInputMessage="1" showErrorMessage="1" xr:uid="{3A688977-11F7-4697-A209-B582761378C4}">
          <x14:formula1>
            <xm:f>'DATA VALIDATION LIST'!$G$4:$G$7</xm:f>
          </x14:formula1>
          <xm:sqref>K8:K128</xm:sqref>
        </x14:dataValidation>
        <x14:dataValidation type="list" allowBlank="1" showInputMessage="1" showErrorMessage="1" xr:uid="{C82E42A7-1266-4A37-83A5-1BF9621B2F5B}">
          <x14:formula1>
            <xm:f>'DATA VALIDATION LIST'!$H$4:$H$7</xm:f>
          </x14:formula1>
          <xm:sqref>L8:L128</xm:sqref>
        </x14:dataValidation>
        <x14:dataValidation type="list" allowBlank="1" showInputMessage="1" showErrorMessage="1" xr:uid="{5A5F6E15-6DF9-474A-89CD-7E23FA7ADCF4}">
          <x14:formula1>
            <xm:f>'DATA VALIDATION LIST'!$J$4:$J$7</xm:f>
          </x14:formula1>
          <xm:sqref>N8:N128</xm:sqref>
        </x14:dataValidation>
        <x14:dataValidation type="list" allowBlank="1" showInputMessage="1" showErrorMessage="1" xr:uid="{56D67622-8048-46C1-BAFF-73971A16873E}">
          <x14:formula1>
            <xm:f>'DATA VALIDATION LIST'!$I$4:$I$8</xm:f>
          </x14:formula1>
          <xm:sqref>M8:M128</xm:sqref>
        </x14:dataValidation>
        <x14:dataValidation type="list" allowBlank="1" showInputMessage="1" showErrorMessage="1" xr:uid="{4DF9C097-A130-4B49-9836-E3DDE2CE03CE}">
          <x14:formula1>
            <xm:f>'DATA VALIDATION LIST'!$M$4:$M$5</xm:f>
          </x14:formula1>
          <xm:sqref>Q8:Q128</xm:sqref>
        </x14:dataValidation>
        <x14:dataValidation type="list" allowBlank="1" showInputMessage="1" showErrorMessage="1" xr:uid="{B6C1F692-34D4-4D4E-89C9-70CB2C5FED39}">
          <x14:formula1>
            <xm:f>'DATA VALIDATION LIST'!$N$4:$N$5</xm:f>
          </x14:formula1>
          <xm:sqref>R8:R128</xm:sqref>
        </x14:dataValidation>
        <x14:dataValidation type="list" allowBlank="1" showInputMessage="1" showErrorMessage="1" xr:uid="{4882F5C9-B21D-4D64-8BF2-B93E9988D8FA}">
          <x14:formula1>
            <xm:f>'DATA VALIDATION LIST'!$O$4:$O$5</xm:f>
          </x14:formula1>
          <xm:sqref>S8:S128</xm:sqref>
        </x14:dataValidation>
        <x14:dataValidation type="list" allowBlank="1" showInputMessage="1" showErrorMessage="1" xr:uid="{0A75DA4A-D2B2-41D1-9308-9FCB2AE3DC71}">
          <x14:formula1>
            <xm:f>'DATA VALIDATION LIST'!$P$4:$P$5</xm:f>
          </x14:formula1>
          <xm:sqref>T8:T128</xm:sqref>
        </x14:dataValidation>
        <x14:dataValidation type="list" allowBlank="1" showInputMessage="1" xr:uid="{08777C35-07A8-4587-8CD5-DE063FCBAD36}">
          <x14:formula1>
            <xm:f>'DATA VALIDATION LIST'!$Q$4:$Q$17</xm:f>
          </x14:formula1>
          <xm:sqref>U8:U128</xm:sqref>
        </x14:dataValidation>
        <x14:dataValidation type="list" allowBlank="1" showInputMessage="1" showErrorMessage="1" xr:uid="{BAF84E4D-436E-4310-9DCB-27DF6BFF67C9}">
          <x14:formula1>
            <xm:f>'DATA VALIDATION LIST'!$L$4:$L$5</xm:f>
          </x14:formula1>
          <xm:sqref>P8:P128</xm:sqref>
        </x14:dataValidation>
        <x14:dataValidation type="list" allowBlank="1" showInputMessage="1" showErrorMessage="1" xr:uid="{B514DEAA-2D2E-4959-BCD1-7AFC55571B95}">
          <x14:formula1>
            <xm:f>'DATA VALIDATION LIST'!$K$4:$K$7</xm:f>
          </x14:formula1>
          <xm:sqref>O8:O134</xm:sqref>
        </x14:dataValidation>
        <x14:dataValidation type="list" allowBlank="1" showInputMessage="1" showErrorMessage="1" xr:uid="{4FDD08D7-5E6B-4AAA-92F5-F95319ECCD2D}">
          <x14:formula1>
            <xm:f>'DATA VALIDATION LIST'!$A$4:$A$8</xm:f>
          </x14:formula1>
          <xm:sqref>E8:E128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79DA9-1C81-4945-910B-C52FDAC6E5FB}">
  <sheetPr>
    <outlinePr summaryBelow="0"/>
  </sheetPr>
  <dimension ref="A1:W326"/>
  <sheetViews>
    <sheetView zoomScaleNormal="100" workbookViewId="0">
      <selection activeCell="D21" sqref="D21"/>
    </sheetView>
  </sheetViews>
  <sheetFormatPr defaultRowHeight="14.5" outlineLevelRow="1" outlineLevelCol="1" x14ac:dyDescent="0.35"/>
  <cols>
    <col min="1" max="1" width="10.26953125" customWidth="1"/>
    <col min="2" max="2" width="14.81640625" customWidth="1"/>
    <col min="3" max="3" width="6.1796875" style="12" customWidth="1"/>
    <col min="4" max="4" width="31.26953125" customWidth="1"/>
    <col min="5" max="5" width="15.26953125" customWidth="1"/>
    <col min="6" max="6" width="11.7265625" customWidth="1"/>
    <col min="7" max="7" width="10.26953125" hidden="1" customWidth="1" outlineLevel="1"/>
    <col min="8" max="8" width="14.26953125" hidden="1" customWidth="1" outlineLevel="1"/>
    <col min="9" max="9" width="18" hidden="1" customWidth="1" outlineLevel="1"/>
    <col min="10" max="10" width="12" hidden="1" customWidth="1" outlineLevel="1"/>
    <col min="11" max="11" width="12.453125" hidden="1" customWidth="1" outlineLevel="1"/>
    <col min="12" max="12" width="13.26953125" customWidth="1" collapsed="1"/>
    <col min="13" max="13" width="13" hidden="1" customWidth="1" outlineLevel="1"/>
    <col min="14" max="14" width="18.54296875" hidden="1" customWidth="1" outlineLevel="1"/>
    <col min="15" max="15" width="11.1796875" hidden="1" customWidth="1" outlineLevel="1"/>
    <col min="16" max="16" width="14" hidden="1" customWidth="1" outlineLevel="1"/>
    <col min="17" max="17" width="13.54296875" hidden="1" customWidth="1" outlineLevel="1"/>
    <col min="18" max="18" width="12.81640625" hidden="1" customWidth="1" outlineLevel="1"/>
    <col min="19" max="19" width="12.54296875" hidden="1" customWidth="1" outlineLevel="1"/>
    <col min="20" max="20" width="10.26953125" hidden="1" customWidth="1" outlineLevel="1"/>
    <col min="21" max="21" width="11.1796875" hidden="1" customWidth="1" outlineLevel="1"/>
    <col min="22" max="22" width="40.1796875" customWidth="1" collapsed="1"/>
    <col min="23" max="23" width="34.54296875" style="2" customWidth="1"/>
  </cols>
  <sheetData>
    <row r="1" spans="1:23" ht="18.5" x14ac:dyDescent="0.45">
      <c r="A1" s="38" t="s">
        <v>405</v>
      </c>
    </row>
    <row r="2" spans="1:23" x14ac:dyDescent="0.35">
      <c r="A2" t="s">
        <v>406</v>
      </c>
      <c r="E2" s="134" t="s">
        <v>407</v>
      </c>
    </row>
    <row r="4" spans="1:23" ht="15" thickBot="1" x14ac:dyDescent="0.4">
      <c r="A4" s="132">
        <v>1</v>
      </c>
      <c r="B4" s="132">
        <v>2</v>
      </c>
      <c r="C4" s="132">
        <v>3</v>
      </c>
      <c r="D4" s="132">
        <v>4</v>
      </c>
      <c r="E4" s="132">
        <v>5</v>
      </c>
      <c r="F4" s="132">
        <v>6</v>
      </c>
      <c r="G4" s="132">
        <v>7</v>
      </c>
      <c r="H4" s="132">
        <v>8</v>
      </c>
      <c r="I4" s="132">
        <v>9</v>
      </c>
      <c r="J4" s="132">
        <v>10</v>
      </c>
      <c r="K4" s="132">
        <v>11</v>
      </c>
      <c r="L4" s="132">
        <v>12</v>
      </c>
      <c r="M4" s="132">
        <v>13</v>
      </c>
      <c r="N4" s="132">
        <v>14</v>
      </c>
      <c r="O4" s="132">
        <v>15</v>
      </c>
      <c r="P4" s="132">
        <v>16</v>
      </c>
      <c r="Q4" s="132">
        <v>17</v>
      </c>
      <c r="R4" s="132">
        <v>18</v>
      </c>
      <c r="S4" s="132">
        <v>19</v>
      </c>
      <c r="T4" s="132">
        <v>20</v>
      </c>
      <c r="U4" s="132">
        <v>21</v>
      </c>
      <c r="V4" s="132">
        <v>22</v>
      </c>
    </row>
    <row r="5" spans="1:23" ht="45.75" customHeight="1" thickBot="1" x14ac:dyDescent="0.4">
      <c r="A5" s="13" t="s">
        <v>408</v>
      </c>
      <c r="B5" s="13" t="s">
        <v>23</v>
      </c>
      <c r="C5" s="14" t="s">
        <v>24</v>
      </c>
      <c r="D5" s="14" t="s">
        <v>25</v>
      </c>
      <c r="E5" s="14" t="s">
        <v>26</v>
      </c>
      <c r="F5" s="14" t="s">
        <v>27</v>
      </c>
      <c r="G5" s="14" t="s">
        <v>28</v>
      </c>
      <c r="H5" s="14" t="s">
        <v>29</v>
      </c>
      <c r="I5" s="14" t="s">
        <v>30</v>
      </c>
      <c r="J5" s="14" t="s">
        <v>31</v>
      </c>
      <c r="K5" s="14" t="s">
        <v>32</v>
      </c>
      <c r="L5" s="14" t="s">
        <v>33</v>
      </c>
      <c r="M5" s="14" t="s">
        <v>34</v>
      </c>
      <c r="N5" s="14" t="s">
        <v>35</v>
      </c>
      <c r="O5" s="14" t="s">
        <v>36</v>
      </c>
      <c r="P5" s="14" t="s">
        <v>37</v>
      </c>
      <c r="Q5" s="14" t="s">
        <v>38</v>
      </c>
      <c r="R5" s="14" t="s">
        <v>39</v>
      </c>
      <c r="S5" s="14" t="s">
        <v>40</v>
      </c>
      <c r="T5" s="14" t="s">
        <v>41</v>
      </c>
      <c r="U5" s="14" t="s">
        <v>42</v>
      </c>
      <c r="V5" s="15" t="s">
        <v>43</v>
      </c>
      <c r="W5" s="14" t="s">
        <v>409</v>
      </c>
    </row>
    <row r="6" spans="1:23" x14ac:dyDescent="0.35">
      <c r="D6" s="2"/>
    </row>
    <row r="7" spans="1:23" x14ac:dyDescent="0.35">
      <c r="A7" s="141" t="s">
        <v>410</v>
      </c>
      <c r="B7" s="141" t="s">
        <v>411</v>
      </c>
      <c r="C7" s="142"/>
      <c r="D7" s="143"/>
      <c r="E7" s="144"/>
      <c r="F7" s="144"/>
      <c r="G7" s="144"/>
      <c r="H7" s="144"/>
      <c r="I7" s="144"/>
      <c r="J7" s="144"/>
      <c r="K7" s="144"/>
      <c r="L7" s="144"/>
      <c r="M7" s="144"/>
      <c r="N7" s="144"/>
      <c r="O7" s="144"/>
      <c r="P7" s="144"/>
      <c r="Q7" s="144"/>
      <c r="R7" s="144"/>
      <c r="S7" s="144"/>
      <c r="T7" s="144"/>
      <c r="U7" s="144"/>
      <c r="V7" s="144"/>
      <c r="W7" s="143"/>
    </row>
    <row r="8" spans="1:23" ht="43.5" x14ac:dyDescent="0.35">
      <c r="A8" s="40"/>
      <c r="B8" s="4" t="str">
        <f>_xlfn.XLOOKUP($C$8,MATRIX!$C$8:$C$128,MATRIX!B8:B128,)</f>
        <v>STRUCTURAL</v>
      </c>
      <c r="C8" s="145" t="s">
        <v>357</v>
      </c>
      <c r="D8" s="4" t="str">
        <f>_xlfn.XLOOKUP($C$8,MATRIX!$C$8:$C$128,MATRIX!D8:D128,)</f>
        <v xml:space="preserve">Make necessary repairs to be identified via study at Parking Garage. </v>
      </c>
      <c r="E8" s="4" t="str">
        <f>_xlfn.XLOOKUP($C$8,MATRIX!$C$8:$C$128,MATRIX!E8:E128,)</f>
        <v>DEFERRED MAINTENANCE</v>
      </c>
      <c r="F8" s="4" t="str">
        <f>_xlfn.XLOOKUP($C$8,MATRIX!$C$8:$C$128,MATRIX!F8:F128,)</f>
        <v>0_PRIORITY *</v>
      </c>
      <c r="G8" s="4" t="str">
        <f>_xlfn.XLOOKUP($C$8,MATRIX!$C$8:$C$128,MATRIX!G8:G128,)</f>
        <v>OTHER *</v>
      </c>
      <c r="H8" s="4" t="str">
        <f>_xlfn.XLOOKUP($C$8,MATRIX!$C$8:$C$128,MATRIX!H8:H128,)</f>
        <v>LEVELS BELOW GRADE</v>
      </c>
      <c r="I8" s="4" t="str">
        <f>_xlfn.XLOOKUP($C$8,MATRIX!$C$8:$C$128,MATRIX!I8:I128,)</f>
        <v>MODERATE</v>
      </c>
      <c r="J8" s="4" t="str">
        <f>_xlfn.XLOOKUP($C$8,MATRIX!$C$8:$C$128,MATRIX!J8:J128,)</f>
        <v>MODERATE</v>
      </c>
      <c r="K8" s="4" t="str">
        <f>_xlfn.XLOOKUP($C$8,MATRIX!$C$8:$C$128,MATRIX!K8:K128,)</f>
        <v>N/A</v>
      </c>
      <c r="L8" s="4" t="str">
        <f>_xlfn.XLOOKUP($C$8,MATRIX!$C$8:$C$128,MATRIX!L8:L128,)</f>
        <v>$$ MODERATE</v>
      </c>
      <c r="M8" s="4" t="str">
        <f>_xlfn.XLOOKUP($C$8,MATRIX!$C$8:$C$128,MATRIX!M8:M128,)</f>
        <v>MINIMAL IMPACT</v>
      </c>
      <c r="N8" s="4" t="str">
        <f>_xlfn.XLOOKUP($C$8,MATRIX!$C$8:$C$128,MATRIX!N8:N128,)</f>
        <v>N/A</v>
      </c>
      <c r="O8" s="4" t="str">
        <f>_xlfn.XLOOKUP($C$8,MATRIX!$C$8:$C$128,MATRIX!O8:O128,)</f>
        <v>N/A</v>
      </c>
      <c r="P8" s="4" t="str">
        <f>_xlfn.XLOOKUP($C$8,MATRIX!$C$8:$C$128,MATRIX!P8:P128,)</f>
        <v>NO</v>
      </c>
      <c r="Q8" s="4" t="str">
        <f>_xlfn.XLOOKUP($C$8,MATRIX!$C$8:$C$128,MATRIX!Q8:Q128,)</f>
        <v>YES</v>
      </c>
      <c r="R8" s="4" t="str">
        <f>_xlfn.XLOOKUP($C$8,MATRIX!$C$8:$C$128,MATRIX!R8:R128,)</f>
        <v>YES</v>
      </c>
      <c r="S8" s="4" t="str">
        <f>_xlfn.XLOOKUP($C$8,MATRIX!$C$8:$C$128,MATRIX!S8:S128,)</f>
        <v>NO</v>
      </c>
      <c r="T8" s="4" t="str">
        <f>_xlfn.XLOOKUP($C$8,MATRIX!$C$8:$C$128,MATRIX!T8:T128,)</f>
        <v>NO</v>
      </c>
      <c r="U8" s="4"/>
      <c r="V8" s="4" t="str">
        <f>_xlfn.XLOOKUP($C$8,MATRIX!$C$8:$C$128,MATRIX!V8:V128,)</f>
        <v xml:space="preserve">At existing parking Garage below Ashburton Park. There may be synergies with top floor MEP and garage water management. </v>
      </c>
      <c r="W8" s="4"/>
    </row>
    <row r="9" spans="1:23" x14ac:dyDescent="0.35">
      <c r="A9" s="40"/>
      <c r="B9" s="4"/>
      <c r="C9" s="145"/>
      <c r="D9" s="4"/>
      <c r="E9" s="4"/>
      <c r="F9" s="4"/>
      <c r="G9" s="4"/>
      <c r="H9" s="4"/>
      <c r="I9" s="4"/>
      <c r="J9" s="4"/>
      <c r="K9" s="4"/>
      <c r="L9" s="4"/>
      <c r="M9" s="4"/>
      <c r="N9" s="4"/>
      <c r="O9" s="4"/>
      <c r="P9" s="4"/>
      <c r="Q9" s="4"/>
      <c r="R9" s="4"/>
      <c r="S9" s="4"/>
      <c r="T9" s="4"/>
      <c r="U9" s="4"/>
      <c r="V9" s="4"/>
      <c r="W9" s="4"/>
    </row>
    <row r="10" spans="1:23" x14ac:dyDescent="0.35">
      <c r="A10" s="141" t="s">
        <v>412</v>
      </c>
      <c r="B10" s="141" t="s">
        <v>413</v>
      </c>
      <c r="C10" s="142"/>
      <c r="D10" s="143"/>
      <c r="E10" s="144"/>
      <c r="F10" s="144"/>
      <c r="G10" s="144"/>
      <c r="H10" s="144"/>
      <c r="I10" s="144"/>
      <c r="J10" s="144"/>
      <c r="K10" s="144"/>
      <c r="L10" s="144"/>
      <c r="M10" s="144"/>
      <c r="N10" s="144"/>
      <c r="O10" s="144"/>
      <c r="P10" s="144"/>
      <c r="Q10" s="144"/>
      <c r="R10" s="144"/>
      <c r="S10" s="144"/>
      <c r="T10" s="144"/>
      <c r="U10" s="144"/>
      <c r="V10" s="144"/>
      <c r="W10" s="143"/>
    </row>
    <row r="11" spans="1:23" ht="43.5" x14ac:dyDescent="0.35">
      <c r="A11" s="40"/>
      <c r="B11" s="4" t="str">
        <f>_xlfn.XLOOKUP($C$11,MATRIX!$C$8:$C$128,MATRIX!B$8:B$128,)</f>
        <v>FIRE PROTECTION</v>
      </c>
      <c r="C11" s="145" t="s">
        <v>285</v>
      </c>
      <c r="D11" s="4" t="str">
        <f>_xlfn.XLOOKUP($C11,MATRIX!$C$8:$C$128,MATRIX!D$8:D$128,)</f>
        <v xml:space="preserve">Continue and complete the existing, ongoing project to bring the fire pump room up to NFPA 20 compliance. </v>
      </c>
      <c r="E11" s="4" t="str">
        <f>_xlfn.XLOOKUP($C11,MATRIX!$C$8:$C$128,MATRIX!E$8:E$128,)</f>
        <v>UPGRADES / IMPROVEMENTS</v>
      </c>
      <c r="F11" s="4" t="str">
        <f>_xlfn.XLOOKUP($C11,MATRIX!$C$8:$C$128,MATRIX!F$8:F$128,)</f>
        <v>1_HIGH &lt;5 years</v>
      </c>
      <c r="G11" s="4" t="str">
        <f>_xlfn.XLOOKUP($C11,MATRIX!$C$8:$C$128,MATRIX!G$8:G$128,)</f>
        <v>ANNEX</v>
      </c>
      <c r="H11" s="4" t="str">
        <f>_xlfn.XLOOKUP($C11,MATRIX!$C$8:$C$128,MATRIX!H$8:H$128,)</f>
        <v>SUB BASEMENT</v>
      </c>
      <c r="I11" s="4" t="str">
        <f>_xlfn.XLOOKUP($C11,MATRIX!$C$8:$C$128,MATRIX!I$8:I$128,)</f>
        <v>LOW</v>
      </c>
      <c r="J11" s="4" t="str">
        <f>_xlfn.XLOOKUP($C11,MATRIX!$C$8:$C$128,MATRIX!J$8:J$128,)</f>
        <v>MODERATE</v>
      </c>
      <c r="K11" s="4" t="str">
        <f>_xlfn.XLOOKUP($C11,MATRIX!$C$8:$C$128,MATRIX!K$8:K$128,)</f>
        <v>MODERATE</v>
      </c>
      <c r="L11" s="4" t="str">
        <f>_xlfn.XLOOKUP($C11,MATRIX!$C$8:$C$128,MATRIX!L$8:L$128,)</f>
        <v>$$ MODERATE</v>
      </c>
      <c r="M11" s="4" t="str">
        <f>_xlfn.XLOOKUP($C11,MATRIX!$C$8:$C$128,MATRIX!M$8:M$128,)</f>
        <v>MINIMAL IMPACT</v>
      </c>
      <c r="N11" s="4" t="str">
        <f>_xlfn.XLOOKUP($C11,MATRIX!$C$8:$C$128,MATRIX!N$8:N$128,)</f>
        <v>N/A</v>
      </c>
      <c r="O11" s="4" t="str">
        <f>_xlfn.XLOOKUP($C11,MATRIX!$C$8:$C$128,MATRIX!O$8:O$128,)</f>
        <v>N/A</v>
      </c>
      <c r="P11" s="4" t="str">
        <f>_xlfn.XLOOKUP($C11,MATRIX!$C$8:$C$128,MATRIX!P$8:P$128,)</f>
        <v>NO</v>
      </c>
      <c r="Q11" s="4" t="str">
        <f>_xlfn.XLOOKUP($C11,MATRIX!$C$8:$C$128,MATRIX!Q$8:Q$128,)</f>
        <v>YES</v>
      </c>
      <c r="R11" s="4" t="str">
        <f>_xlfn.XLOOKUP($C11,MATRIX!$C$8:$C$128,MATRIX!R$8:R$128,)</f>
        <v>YES</v>
      </c>
      <c r="S11" s="4" t="str">
        <f>_xlfn.XLOOKUP($C11,MATRIX!$C$8:$C$128,MATRIX!S$8:S$128,)</f>
        <v>NO</v>
      </c>
      <c r="T11" s="4" t="str">
        <f>_xlfn.XLOOKUP($C11,MATRIX!$C$8:$C$128,MATRIX!T$8:T$128,)</f>
        <v>NO</v>
      </c>
      <c r="U11" s="4">
        <f>_xlfn.XLOOKUP($C11,MATRIX!$C$8:$C$128,MATRIX!U$8:U$128,)</f>
        <v>0</v>
      </c>
      <c r="V11" s="4" t="str">
        <f>_xlfn.XLOOKUP($C11,MATRIX!$C$8:$C$128,MATRIX!V$8:V$128,)</f>
        <v>Refer to prior draft study. Update as needed, pre-SD</v>
      </c>
      <c r="W11" s="4"/>
    </row>
    <row r="12" spans="1:23" x14ac:dyDescent="0.35">
      <c r="A12" s="40"/>
      <c r="B12" s="4"/>
      <c r="C12" s="145"/>
      <c r="D12" s="4"/>
      <c r="E12" s="4"/>
      <c r="F12" s="4"/>
      <c r="G12" s="4"/>
      <c r="H12" s="4"/>
      <c r="I12" s="4"/>
      <c r="J12" s="4"/>
      <c r="K12" s="4"/>
      <c r="L12" s="4"/>
      <c r="M12" s="4"/>
      <c r="N12" s="4"/>
      <c r="O12" s="4"/>
      <c r="P12" s="4"/>
      <c r="Q12" s="4"/>
      <c r="R12" s="4"/>
      <c r="S12" s="4"/>
      <c r="T12" s="4"/>
      <c r="U12" s="4"/>
      <c r="V12" s="4"/>
      <c r="W12" s="4"/>
    </row>
    <row r="13" spans="1:23" x14ac:dyDescent="0.35">
      <c r="A13" s="141" t="s">
        <v>414</v>
      </c>
      <c r="B13" s="141" t="s">
        <v>415</v>
      </c>
      <c r="C13" s="142"/>
      <c r="D13" s="143"/>
      <c r="E13" s="144"/>
      <c r="F13" s="144"/>
      <c r="G13" s="144"/>
      <c r="H13" s="144"/>
      <c r="I13" s="144"/>
      <c r="J13" s="144"/>
      <c r="K13" s="144"/>
      <c r="L13" s="144"/>
      <c r="M13" s="144"/>
      <c r="N13" s="144"/>
      <c r="O13" s="144"/>
      <c r="P13" s="144"/>
      <c r="Q13" s="144"/>
      <c r="R13" s="144"/>
      <c r="S13" s="144"/>
      <c r="T13" s="144"/>
      <c r="U13" s="144"/>
      <c r="V13" s="144"/>
      <c r="W13" s="143"/>
    </row>
    <row r="14" spans="1:23" ht="87" x14ac:dyDescent="0.35">
      <c r="A14" s="40"/>
      <c r="B14" s="4" t="str">
        <f>_xlfn.XLOOKUP($C14,MATRIX!$C$8:$C$128,MATRIX!B$8:B$128,)</f>
        <v>FIRE ALARM</v>
      </c>
      <c r="C14" s="145" t="s">
        <v>274</v>
      </c>
      <c r="D14" s="4" t="str">
        <f>_xlfn.XLOOKUP($C14,MATRIX!$C$8:$C$128,MATRIX!D$8:D$128,)</f>
        <v>Upgrade Fire Alarm control panel. ECS-4 to replace end-of-life ECS-3.</v>
      </c>
      <c r="E14" s="4" t="str">
        <f>_xlfn.XLOOKUP($C14,MATRIX!$C$8:$C$128,MATRIX!E$8:E$128,)</f>
        <v>END OF LIFE</v>
      </c>
      <c r="F14" s="4" t="str">
        <f>_xlfn.XLOOKUP($C14,MATRIX!$C$8:$C$128,MATRIX!F$8:F$128,)</f>
        <v>1_HIGH &lt;5 years</v>
      </c>
      <c r="G14" s="4" t="str">
        <f>_xlfn.XLOOKUP($C14,MATRIX!$C$8:$C$128,MATRIX!G$8:G$128,)</f>
        <v>WHOLE BUILDING</v>
      </c>
      <c r="H14" s="4" t="str">
        <f>_xlfn.XLOOKUP($C14,MATRIX!$C$8:$C$128,MATRIX!H$8:H$128,)</f>
        <v>WHOLE BUILDING</v>
      </c>
      <c r="I14" s="4" t="str">
        <f>_xlfn.XLOOKUP($C14,MATRIX!$C$8:$C$128,MATRIX!I$8:I$128,)</f>
        <v>LOW</v>
      </c>
      <c r="J14" s="4" t="str">
        <f>_xlfn.XLOOKUP($C14,MATRIX!$C$8:$C$128,MATRIX!J$8:J$128,)</f>
        <v>MODERATE</v>
      </c>
      <c r="K14" s="4" t="str">
        <f>_xlfn.XLOOKUP($C14,MATRIX!$C$8:$C$128,MATRIX!K$8:K$128,)</f>
        <v>LOW</v>
      </c>
      <c r="L14" s="4" t="str">
        <f>_xlfn.XLOOKUP($C14,MATRIX!$C$8:$C$128,MATRIX!L$8:L$128,)</f>
        <v>$ LOW</v>
      </c>
      <c r="M14" s="4" t="str">
        <f>_xlfn.XLOOKUP($C14,MATRIX!$C$8:$C$128,MATRIX!M$8:M$128,)</f>
        <v>MINIMAL IMPACT</v>
      </c>
      <c r="N14" s="4" t="str">
        <f>_xlfn.XLOOKUP($C14,MATRIX!$C$8:$C$128,MATRIX!N$8:N$128,)</f>
        <v>N/A</v>
      </c>
      <c r="O14" s="4" t="str">
        <f>_xlfn.XLOOKUP($C14,MATRIX!$C$8:$C$128,MATRIX!O$8:O$128,)</f>
        <v>N/A</v>
      </c>
      <c r="P14" s="4">
        <f>_xlfn.XLOOKUP($C14,MATRIX!$C$8:$C$128,MATRIX!P$8:P$128,)</f>
        <v>0</v>
      </c>
      <c r="Q14" s="4" t="str">
        <f>_xlfn.XLOOKUP($C14,MATRIX!$C$8:$C$128,MATRIX!Q$8:Q$128,)</f>
        <v>YES</v>
      </c>
      <c r="R14" s="4" t="str">
        <f>_xlfn.XLOOKUP($C14,MATRIX!$C$8:$C$128,MATRIX!R$8:R$128,)</f>
        <v>YES</v>
      </c>
      <c r="S14" s="4" t="str">
        <f>_xlfn.XLOOKUP($C14,MATRIX!$C$8:$C$128,MATRIX!S$8:S$128,)</f>
        <v>YES</v>
      </c>
      <c r="T14" s="4" t="str">
        <f>_xlfn.XLOOKUP($C14,MATRIX!$C$8:$C$128,MATRIX!T$8:T$128,)</f>
        <v>NO</v>
      </c>
      <c r="U14" s="4">
        <f>_xlfn.XLOOKUP($C14,MATRIX!$C$8:$C$128,MATRIX!U$8:U$128,)</f>
        <v>0</v>
      </c>
      <c r="V14" s="4" t="str">
        <f>_xlfn.XLOOKUP($C14,MATRIX!$C$8:$C$128,MATRIX!V$8:V$128,)</f>
        <v>Scope to include documentation of existing system including modifications post-2013.
Note that scope/estimate does NOT include approach to VESDA system, which will have to be determined during the study phase for the work.</v>
      </c>
      <c r="W14" s="4"/>
    </row>
    <row r="15" spans="1:23" ht="43.5" x14ac:dyDescent="0.35">
      <c r="A15" s="40"/>
      <c r="B15" s="4" t="str">
        <f>_xlfn.XLOOKUP($C15,MATRIX!$C$8:$C$128,MATRIX!B$8:B$128,)</f>
        <v>FIRE ALARM</v>
      </c>
      <c r="C15" s="145" t="s">
        <v>277</v>
      </c>
      <c r="D15" s="4" t="str">
        <f>_xlfn.XLOOKUP($C15,MATRIX!$C$8:$C$128,MATRIX!D$8:D$128,)</f>
        <v>Automate Mass Notification. Requires confirmation of audibility of system throughout building.</v>
      </c>
      <c r="E15" s="4" t="str">
        <f>_xlfn.XLOOKUP($C15,MATRIX!$C$8:$C$128,MATRIX!E$8:E$128,)</f>
        <v>UPGRADES / IMPROVEMENTS</v>
      </c>
      <c r="F15" s="4" t="str">
        <f>_xlfn.XLOOKUP($C15,MATRIX!$C$8:$C$128,MATRIX!F$8:F$128,)</f>
        <v>1_HIGH &lt;5 years</v>
      </c>
      <c r="G15" s="4" t="str">
        <f>_xlfn.XLOOKUP($C15,MATRIX!$C$8:$C$128,MATRIX!G$8:G$128,)</f>
        <v>WHOLE BUILDING</v>
      </c>
      <c r="H15" s="4" t="str">
        <f>_xlfn.XLOOKUP($C15,MATRIX!$C$8:$C$128,MATRIX!H$8:H$128,)</f>
        <v>WHOLE BUILDING</v>
      </c>
      <c r="I15" s="4" t="str">
        <f>_xlfn.XLOOKUP($C15,MATRIX!$C$8:$C$128,MATRIX!I$8:I$128,)</f>
        <v>LOW</v>
      </c>
      <c r="J15" s="4" t="str">
        <f>_xlfn.XLOOKUP($C15,MATRIX!$C$8:$C$128,MATRIX!J$8:J$128,)</f>
        <v>MODERATE</v>
      </c>
      <c r="K15" s="4" t="str">
        <f>_xlfn.XLOOKUP($C15,MATRIX!$C$8:$C$128,MATRIX!K$8:K$128,)</f>
        <v>HIGH</v>
      </c>
      <c r="L15" s="4" t="str">
        <f>_xlfn.XLOOKUP($C15,MATRIX!$C$8:$C$128,MATRIX!L$8:L$128,)</f>
        <v>$ LOW</v>
      </c>
      <c r="M15" s="4" t="str">
        <f>_xlfn.XLOOKUP($C15,MATRIX!$C$8:$C$128,MATRIX!M$8:M$128,)</f>
        <v>MINIMAL IMPACT</v>
      </c>
      <c r="N15" s="4" t="str">
        <f>_xlfn.XLOOKUP($C15,MATRIX!$C$8:$C$128,MATRIX!N$8:N$128,)</f>
        <v>N/A</v>
      </c>
      <c r="O15" s="4" t="str">
        <f>_xlfn.XLOOKUP($C15,MATRIX!$C$8:$C$128,MATRIX!O$8:O$128,)</f>
        <v>N/A</v>
      </c>
      <c r="P15" s="4">
        <f>_xlfn.XLOOKUP($C15,MATRIX!$C$8:$C$128,MATRIX!P$8:P$128,)</f>
        <v>0</v>
      </c>
      <c r="Q15" s="4" t="str">
        <f>_xlfn.XLOOKUP($C15,MATRIX!$C$8:$C$128,MATRIX!Q$8:Q$128,)</f>
        <v>NO</v>
      </c>
      <c r="R15" s="4" t="str">
        <f>_xlfn.XLOOKUP($C15,MATRIX!$C$8:$C$128,MATRIX!R$8:R$128,)</f>
        <v>YES</v>
      </c>
      <c r="S15" s="4" t="str">
        <f>_xlfn.XLOOKUP($C15,MATRIX!$C$8:$C$128,MATRIX!S$8:S$128,)</f>
        <v>YES</v>
      </c>
      <c r="T15" s="4" t="str">
        <f>_xlfn.XLOOKUP($C15,MATRIX!$C$8:$C$128,MATRIX!T$8:T$128,)</f>
        <v>NO</v>
      </c>
      <c r="U15" s="4">
        <f>_xlfn.XLOOKUP($C15,MATRIX!$C$8:$C$128,MATRIX!U$8:U$128,)</f>
        <v>0</v>
      </c>
      <c r="V15" s="4">
        <f>_xlfn.XLOOKUP($C15,MATRIX!$C$8:$C$128,MATRIX!V$8:V$128,)</f>
        <v>0</v>
      </c>
      <c r="W15" s="4"/>
    </row>
    <row r="16" spans="1:23" x14ac:dyDescent="0.35">
      <c r="A16" s="40"/>
      <c r="B16" s="4"/>
      <c r="C16" s="145"/>
      <c r="D16" s="4"/>
      <c r="E16" s="4"/>
      <c r="F16" s="4"/>
      <c r="G16" s="4"/>
      <c r="H16" s="4"/>
      <c r="I16" s="4"/>
      <c r="J16" s="4"/>
      <c r="K16" s="4"/>
      <c r="L16" s="4"/>
      <c r="M16" s="4"/>
      <c r="N16" s="4"/>
      <c r="O16" s="4"/>
      <c r="P16" s="4"/>
      <c r="Q16" s="4"/>
      <c r="R16" s="4"/>
      <c r="S16" s="4"/>
      <c r="T16" s="4"/>
      <c r="U16" s="4"/>
      <c r="V16" s="4"/>
      <c r="W16" s="4"/>
    </row>
    <row r="17" spans="1:23" x14ac:dyDescent="0.35">
      <c r="A17" s="141" t="s">
        <v>416</v>
      </c>
      <c r="B17" s="141" t="s">
        <v>417</v>
      </c>
      <c r="C17" s="142"/>
      <c r="D17" s="143"/>
      <c r="E17" s="144"/>
      <c r="F17" s="144"/>
      <c r="G17" s="144"/>
      <c r="H17" s="144"/>
      <c r="I17" s="144"/>
      <c r="J17" s="144"/>
      <c r="K17" s="144"/>
      <c r="L17" s="144"/>
      <c r="M17" s="144"/>
      <c r="N17" s="144"/>
      <c r="O17" s="144"/>
      <c r="P17" s="144"/>
      <c r="Q17" s="144"/>
      <c r="R17" s="144"/>
      <c r="S17" s="144"/>
      <c r="T17" s="144"/>
      <c r="U17" s="144"/>
      <c r="V17" s="144"/>
      <c r="W17" s="143"/>
    </row>
    <row r="18" spans="1:23" ht="43.5" x14ac:dyDescent="0.35">
      <c r="A18" s="10"/>
      <c r="B18" s="4" t="str">
        <f>_xlfn.XLOOKUP($C18,MATRIX!$C$8:$C$128,MATRIX!B$8:B$128,)</f>
        <v>ELECTRICAL</v>
      </c>
      <c r="C18" s="145" t="s">
        <v>154</v>
      </c>
      <c r="D18" s="4" t="str">
        <f>_xlfn.XLOOKUP($C18,MATRIX!$C$8:$C$128,MATRIX!D$8:D$128,)</f>
        <v>Interior Lighting. Provide all LED lighting including local controls where applicable.</v>
      </c>
      <c r="E18" s="4" t="str">
        <f>_xlfn.XLOOKUP($C18,MATRIX!$C$8:$C$128,MATRIX!E$8:E$128,)</f>
        <v>UPGRADES / IMPROVEMENTS</v>
      </c>
      <c r="F18" s="4" t="str">
        <f>_xlfn.XLOOKUP($C18,MATRIX!$C$8:$C$128,MATRIX!F$8:F$128,)</f>
        <v>1_HIGH &lt;5 years</v>
      </c>
      <c r="G18" s="4" t="str">
        <f>_xlfn.XLOOKUP($C18,MATRIX!$C$8:$C$128,MATRIX!G$8:G$128,)</f>
        <v>WHOLE BUILDING</v>
      </c>
      <c r="H18" s="4" t="str">
        <f>_xlfn.XLOOKUP($C18,MATRIX!$C$8:$C$128,MATRIX!H$8:H$128,)</f>
        <v>WHOLE BUILDING</v>
      </c>
      <c r="I18" s="4" t="str">
        <f>_xlfn.XLOOKUP($C18,MATRIX!$C$8:$C$128,MATRIX!I$8:I$128,)</f>
        <v>HIGH</v>
      </c>
      <c r="J18" s="4" t="str">
        <f>_xlfn.XLOOKUP($C18,MATRIX!$C$8:$C$128,MATRIX!J$8:J$128,)</f>
        <v>N/A</v>
      </c>
      <c r="K18" s="4" t="str">
        <f>_xlfn.XLOOKUP($C18,MATRIX!$C$8:$C$128,MATRIX!K$8:K$128,)</f>
        <v>N/A</v>
      </c>
      <c r="L18" s="4" t="str">
        <f>_xlfn.XLOOKUP($C18,MATRIX!$C$8:$C$128,MATRIX!L$8:L$128,)</f>
        <v>$ LOW</v>
      </c>
      <c r="M18" s="4" t="str">
        <f>_xlfn.XLOOKUP($C18,MATRIX!$C$8:$C$128,MATRIX!M$8:M$128,)</f>
        <v>MINIMAL IMPACT</v>
      </c>
      <c r="N18" s="4" t="str">
        <f>_xlfn.XLOOKUP($C18,MATRIX!$C$8:$C$128,MATRIX!N$8:N$128,)</f>
        <v>MINIMAL IMPACT</v>
      </c>
      <c r="O18" s="4" t="str">
        <f>_xlfn.XLOOKUP($C18,MATRIX!$C$8:$C$128,MATRIX!O$8:O$128,)</f>
        <v>LOW</v>
      </c>
      <c r="P18" s="4" t="str">
        <f>_xlfn.XLOOKUP($C18,MATRIX!$C$8:$C$128,MATRIX!P$8:P$128,)</f>
        <v>YES</v>
      </c>
      <c r="Q18" s="4" t="str">
        <f>_xlfn.XLOOKUP($C18,MATRIX!$C$8:$C$128,MATRIX!Q$8:Q$128,)</f>
        <v>NO</v>
      </c>
      <c r="R18" s="4" t="str">
        <f>_xlfn.XLOOKUP($C18,MATRIX!$C$8:$C$128,MATRIX!R$8:R$128,)</f>
        <v>YES</v>
      </c>
      <c r="S18" s="4" t="str">
        <f>_xlfn.XLOOKUP($C18,MATRIX!$C$8:$C$128,MATRIX!S$8:S$128,)</f>
        <v>NO</v>
      </c>
      <c r="T18" s="4" t="str">
        <f>_xlfn.XLOOKUP($C18,MATRIX!$C$8:$C$128,MATRIX!T$8:T$128,)</f>
        <v>NO</v>
      </c>
      <c r="U18" s="4"/>
      <c r="V18" s="4" t="str">
        <f>_xlfn.XLOOKUP($C18,MATRIX!$C$8:$C$128,MATRIX!V$8:V$128,)</f>
        <v xml:space="preserve">Improving energy efficiency of these systems, reducing building loads, will make task of electrification easier. </v>
      </c>
      <c r="W18" s="135" t="s">
        <v>418</v>
      </c>
    </row>
    <row r="19" spans="1:23" x14ac:dyDescent="0.35">
      <c r="A19" s="40"/>
      <c r="B19" s="4"/>
      <c r="C19" s="145"/>
      <c r="D19" s="4"/>
      <c r="E19" s="4"/>
      <c r="F19" s="4"/>
      <c r="G19" s="4"/>
      <c r="H19" s="4"/>
      <c r="I19" s="4"/>
      <c r="J19" s="4"/>
      <c r="K19" s="4"/>
      <c r="L19" s="4"/>
      <c r="M19" s="4"/>
      <c r="N19" s="4"/>
      <c r="O19" s="4"/>
      <c r="P19" s="4"/>
      <c r="Q19" s="4"/>
      <c r="R19" s="4"/>
      <c r="S19" s="4"/>
      <c r="T19" s="4"/>
      <c r="U19" s="4"/>
      <c r="V19" s="4"/>
      <c r="W19" s="4"/>
    </row>
    <row r="20" spans="1:23" x14ac:dyDescent="0.35">
      <c r="A20" s="141" t="s">
        <v>419</v>
      </c>
      <c r="B20" s="141" t="s">
        <v>420</v>
      </c>
      <c r="C20" s="142"/>
      <c r="D20" s="143"/>
      <c r="E20" s="144"/>
      <c r="F20" s="144"/>
      <c r="G20" s="144"/>
      <c r="H20" s="144"/>
      <c r="I20" s="144"/>
      <c r="J20" s="144"/>
      <c r="K20" s="144"/>
      <c r="L20" s="144"/>
      <c r="M20" s="144"/>
      <c r="N20" s="144"/>
      <c r="O20" s="144"/>
      <c r="P20" s="144"/>
      <c r="Q20" s="144"/>
      <c r="R20" s="144"/>
      <c r="S20" s="144"/>
      <c r="T20" s="144"/>
      <c r="U20" s="144"/>
      <c r="V20" s="144"/>
      <c r="W20" s="143"/>
    </row>
    <row r="21" spans="1:23" ht="58" x14ac:dyDescent="0.35">
      <c r="A21" s="10"/>
      <c r="B21" s="4" t="str">
        <f>_xlfn.XLOOKUP($C21,MATRIX!$C$8:$C$128,MATRIX!B$8:B$128,)</f>
        <v>ELECTRICAL</v>
      </c>
      <c r="C21" s="145" t="s">
        <v>158</v>
      </c>
      <c r="D21" s="4" t="str">
        <f>_xlfn.XLOOKUP($C21,MATRIX!$C$8:$C$128,MATRIX!D$8:D$128,)</f>
        <v>Replace Generator at roof.</v>
      </c>
      <c r="E21" s="4" t="str">
        <f>_xlfn.XLOOKUP($C21,MATRIX!$C$8:$C$128,MATRIX!E$8:E$128,)</f>
        <v>DEFERRED MAINTENANCE</v>
      </c>
      <c r="F21" s="4" t="str">
        <f>_xlfn.XLOOKUP($C21,MATRIX!$C$8:$C$128,MATRIX!F$8:F$128,)</f>
        <v>1_HIGH &lt;5 years</v>
      </c>
      <c r="G21" s="4" t="str">
        <f>_xlfn.XLOOKUP($C21,MATRIX!$C$8:$C$128,MATRIX!G$8:G$128,)</f>
        <v>ANNEX</v>
      </c>
      <c r="H21" s="4" t="str">
        <f>_xlfn.XLOOKUP($C21,MATRIX!$C$8:$C$128,MATRIX!H$8:H$128,)</f>
        <v>ROOF</v>
      </c>
      <c r="I21" s="4" t="str">
        <f>_xlfn.XLOOKUP($C21,MATRIX!$C$8:$C$128,MATRIX!I$8:I$128,)</f>
        <v>HIGH</v>
      </c>
      <c r="J21" s="4" t="str">
        <f>_xlfn.XLOOKUP($C21,MATRIX!$C$8:$C$128,MATRIX!J$8:J$128,)</f>
        <v>MODERATE</v>
      </c>
      <c r="K21" s="4" t="str">
        <f>_xlfn.XLOOKUP($C21,MATRIX!$C$8:$C$128,MATRIX!K$8:K$128,)</f>
        <v>MODERATE</v>
      </c>
      <c r="L21" s="4" t="str">
        <f>_xlfn.XLOOKUP($C21,MATRIX!$C$8:$C$128,MATRIX!L$8:L$128,)</f>
        <v>$$$ HIGH</v>
      </c>
      <c r="M21" s="4" t="str">
        <f>_xlfn.XLOOKUP($C21,MATRIX!$C$8:$C$128,MATRIX!M$8:M$128,)</f>
        <v>MINIMAL IMPACT</v>
      </c>
      <c r="N21" s="4" t="str">
        <f>_xlfn.XLOOKUP($C21,MATRIX!$C$8:$C$128,MATRIX!N$8:N$128,)</f>
        <v>MINIMAL IMPACT</v>
      </c>
      <c r="O21" s="4" t="str">
        <f>_xlfn.XLOOKUP($C21,MATRIX!$C$8:$C$128,MATRIX!O$8:O$128,)</f>
        <v>MODERATE</v>
      </c>
      <c r="P21" s="4">
        <f>_xlfn.XLOOKUP($C21,MATRIX!$C$8:$C$128,MATRIX!P$8:P$128,)</f>
        <v>0</v>
      </c>
      <c r="Q21" s="4" t="str">
        <f>_xlfn.XLOOKUP($C21,MATRIX!$C$8:$C$128,MATRIX!Q$8:Q$128,)</f>
        <v>YES</v>
      </c>
      <c r="R21" s="4" t="str">
        <f>_xlfn.XLOOKUP($C21,MATRIX!$C$8:$C$128,MATRIX!R$8:R$128,)</f>
        <v>YES</v>
      </c>
      <c r="S21" s="4" t="str">
        <f>_xlfn.XLOOKUP($C21,MATRIX!$C$8:$C$128,MATRIX!S$8:S$128,)</f>
        <v>NO</v>
      </c>
      <c r="T21" s="4" t="str">
        <f>_xlfn.XLOOKUP($C21,MATRIX!$C$8:$C$128,MATRIX!T$8:T$128,)</f>
        <v>NO</v>
      </c>
      <c r="U21" s="4"/>
      <c r="V21" s="4">
        <f>_xlfn.XLOOKUP($C21,MATRIX!$C$8:$C$128,MATRIX!V$8:V$128,)</f>
        <v>0</v>
      </c>
      <c r="W21" s="135" t="s">
        <v>421</v>
      </c>
    </row>
    <row r="22" spans="1:23" x14ac:dyDescent="0.35">
      <c r="A22" s="40"/>
      <c r="B22" s="4"/>
      <c r="C22" s="145"/>
      <c r="D22" s="4"/>
      <c r="E22" s="4"/>
      <c r="F22" s="4"/>
      <c r="G22" s="4"/>
      <c r="H22" s="4"/>
      <c r="I22" s="4"/>
      <c r="J22" s="4"/>
      <c r="K22" s="4"/>
      <c r="L22" s="4"/>
      <c r="M22" s="4"/>
      <c r="N22" s="4"/>
      <c r="O22" s="4"/>
      <c r="P22" s="4"/>
      <c r="Q22" s="4"/>
      <c r="R22" s="4"/>
      <c r="S22" s="4"/>
      <c r="T22" s="4"/>
      <c r="U22" s="4"/>
      <c r="V22" s="4"/>
      <c r="W22" s="4"/>
    </row>
    <row r="23" spans="1:23" x14ac:dyDescent="0.35">
      <c r="A23" s="141" t="s">
        <v>422</v>
      </c>
      <c r="B23" s="141" t="s">
        <v>423</v>
      </c>
      <c r="C23" s="142"/>
      <c r="D23" s="143"/>
      <c r="E23" s="144"/>
      <c r="F23" s="144"/>
      <c r="G23" s="144"/>
      <c r="H23" s="144"/>
      <c r="I23" s="144"/>
      <c r="J23" s="144"/>
      <c r="K23" s="144"/>
      <c r="L23" s="144"/>
      <c r="M23" s="144"/>
      <c r="N23" s="144"/>
      <c r="O23" s="144"/>
      <c r="P23" s="144"/>
      <c r="Q23" s="144"/>
      <c r="R23" s="144"/>
      <c r="S23" s="144"/>
      <c r="T23" s="144"/>
      <c r="U23" s="144"/>
      <c r="V23" s="144"/>
      <c r="W23" s="143"/>
    </row>
    <row r="24" spans="1:23" ht="43.5" outlineLevel="1" x14ac:dyDescent="0.35">
      <c r="A24" s="10"/>
      <c r="B24" s="4" t="str">
        <f>_xlfn.XLOOKUP($C24,MATRIX!$C$8:$C$128,MATRIX!B$8:B$128,)</f>
        <v>ENVELOPE</v>
      </c>
      <c r="C24" s="145" t="s">
        <v>254</v>
      </c>
      <c r="D24" s="4" t="str">
        <f>_xlfn.XLOOKUP($C24,MATRIX!$C$8:$C$128,MATRIX!D$8:D$128,)</f>
        <v>General Hooker Entrance Upper Landing: Investigate cause and repair leak. Scope of work unknown</v>
      </c>
      <c r="E24" s="4" t="str">
        <f>_xlfn.XLOOKUP($C24,MATRIX!$C$8:$C$128,MATRIX!E$8:E$128,)</f>
        <v>DEFERRED MAINTENANCE</v>
      </c>
      <c r="F24" s="4" t="str">
        <f>_xlfn.XLOOKUP($C24,MATRIX!$C$8:$C$128,MATRIX!F$8:F$128,)</f>
        <v>2_MID 5-10 years</v>
      </c>
      <c r="G24" s="4" t="str">
        <f>_xlfn.XLOOKUP($C24,MATRIX!$C$8:$C$128,MATRIX!G$8:G$128,)</f>
        <v>EAST WING</v>
      </c>
      <c r="H24" s="4" t="str">
        <f>_xlfn.XLOOKUP($C24,MATRIX!$C$8:$C$128,MATRIX!H$8:H$128,)</f>
        <v>L1</v>
      </c>
      <c r="I24" s="4" t="str">
        <f>_xlfn.XLOOKUP($C24,MATRIX!$C$8:$C$128,MATRIX!I$8:I$128,)</f>
        <v>MODERATE</v>
      </c>
      <c r="J24" s="4" t="str">
        <f>_xlfn.XLOOKUP($C24,MATRIX!$C$8:$C$128,MATRIX!J$8:J$128,)</f>
        <v>N/A</v>
      </c>
      <c r="K24" s="4" t="str">
        <f>_xlfn.XLOOKUP($C24,MATRIX!$C$8:$C$128,MATRIX!K$8:K$128,)</f>
        <v>N/A</v>
      </c>
      <c r="L24" s="4">
        <f>_xlfn.XLOOKUP($C24,MATRIX!$C$8:$C$128,MATRIX!L$8:L$128,)</f>
        <v>0</v>
      </c>
      <c r="M24" s="4" t="str">
        <f>_xlfn.XLOOKUP($C24,MATRIX!$C$8:$C$128,MATRIX!M$8:M$128,)</f>
        <v>MINIMAL IMPACT</v>
      </c>
      <c r="N24" s="4" t="str">
        <f>_xlfn.XLOOKUP($C24,MATRIX!$C$8:$C$128,MATRIX!N$8:N$128,)</f>
        <v>N/A</v>
      </c>
      <c r="O24" s="4" t="str">
        <f>_xlfn.XLOOKUP($C24,MATRIX!$C$8:$C$128,MATRIX!O$8:O$128,)</f>
        <v>N/A</v>
      </c>
      <c r="P24" s="4" t="str">
        <f>_xlfn.XLOOKUP($C24,MATRIX!$C$8:$C$128,MATRIX!P$8:P$128,)</f>
        <v>NO</v>
      </c>
      <c r="Q24" s="4" t="str">
        <f>_xlfn.XLOOKUP($C24,MATRIX!$C$8:$C$128,MATRIX!Q$8:Q$128,)</f>
        <v>YES</v>
      </c>
      <c r="R24" s="4" t="str">
        <f>_xlfn.XLOOKUP($C24,MATRIX!$C$8:$C$128,MATRIX!R$8:R$128,)</f>
        <v>NO</v>
      </c>
      <c r="S24" s="4" t="str">
        <f>_xlfn.XLOOKUP($C24,MATRIX!$C$8:$C$128,MATRIX!S$8:S$128,)</f>
        <v>NO</v>
      </c>
      <c r="T24" s="4" t="str">
        <f>_xlfn.XLOOKUP($C24,MATRIX!$C$8:$C$128,MATRIX!T$8:T$128,)</f>
        <v>NO</v>
      </c>
      <c r="U24" s="4"/>
      <c r="V24" s="4" t="str">
        <f>_xlfn.XLOOKUP($C24,MATRIX!$C$8:$C$128,MATRIX!V$8:V$128,)</f>
        <v>Cost cannot be determined until project scope confirmed with investigation.</v>
      </c>
      <c r="W24" s="135" t="s">
        <v>424</v>
      </c>
    </row>
    <row r="25" spans="1:23" ht="43.5" outlineLevel="1" x14ac:dyDescent="0.35">
      <c r="A25" s="10"/>
      <c r="B25" s="4" t="str">
        <f>_xlfn.XLOOKUP($C25,MATRIX!$C$8:$C$128,MATRIX!B$8:B$128,)</f>
        <v>LANDSCAPE</v>
      </c>
      <c r="C25" s="145" t="s">
        <v>51</v>
      </c>
      <c r="D25" s="4" t="str">
        <f>_xlfn.XLOOKUP($C25,MATRIX!$C$8:$C$128,MATRIX!D$8:D$128,)</f>
        <v>Hooker Entrance. Include paving, steps, railings, and plantings.</v>
      </c>
      <c r="E25" s="4" t="str">
        <f>_xlfn.XLOOKUP($C25,MATRIX!$C$8:$C$128,MATRIX!E$8:E$128,)</f>
        <v>RESTORATION *</v>
      </c>
      <c r="F25" s="4" t="str">
        <f>_xlfn.XLOOKUP($C25,MATRIX!$C$8:$C$128,MATRIX!F$8:F$128,)</f>
        <v>2_MID 5-10 years</v>
      </c>
      <c r="G25" s="4" t="str">
        <f>_xlfn.XLOOKUP($C25,MATRIX!$C$8:$C$128,MATRIX!G$8:G$128,)</f>
        <v>SITE</v>
      </c>
      <c r="H25" s="4" t="str">
        <f>_xlfn.XLOOKUP($C25,MATRIX!$C$8:$C$128,MATRIX!H$8:H$128,)</f>
        <v>OTHER *</v>
      </c>
      <c r="I25" s="4" t="str">
        <f>_xlfn.XLOOKUP($C25,MATRIX!$C$8:$C$128,MATRIX!I$8:I$128,)</f>
        <v>HIGH</v>
      </c>
      <c r="J25" s="4" t="str">
        <f>_xlfn.XLOOKUP($C25,MATRIX!$C$8:$C$128,MATRIX!J$8:J$128,)</f>
        <v>MODERATE</v>
      </c>
      <c r="K25" s="4" t="str">
        <f>_xlfn.XLOOKUP($C25,MATRIX!$C$8:$C$128,MATRIX!K$8:K$128,)</f>
        <v>MODERATE</v>
      </c>
      <c r="L25" s="4" t="str">
        <f>_xlfn.XLOOKUP($C25,MATRIX!$C$8:$C$128,MATRIX!L$8:L$128,)</f>
        <v>$$ MODERATE</v>
      </c>
      <c r="M25" s="4" t="str">
        <f>_xlfn.XLOOKUP($C25,MATRIX!$C$8:$C$128,MATRIX!M$8:M$128,)</f>
        <v>MINIMAL IMPACT</v>
      </c>
      <c r="N25" s="4" t="str">
        <f>_xlfn.XLOOKUP($C25,MATRIX!$C$8:$C$128,MATRIX!N$8:N$128,)</f>
        <v>MINIMAL IMPACT</v>
      </c>
      <c r="O25" s="4" t="str">
        <f>_xlfn.XLOOKUP($C25,MATRIX!$C$8:$C$128,MATRIX!O$8:O$128,)</f>
        <v>N/A</v>
      </c>
      <c r="P25" s="4">
        <f>_xlfn.XLOOKUP($C25,MATRIX!$C$8:$C$128,MATRIX!P$8:P$128,)</f>
        <v>0</v>
      </c>
      <c r="Q25" s="4" t="str">
        <f>_xlfn.XLOOKUP($C25,MATRIX!$C$8:$C$128,MATRIX!Q$8:Q$128,)</f>
        <v>YES</v>
      </c>
      <c r="R25" s="4" t="str">
        <f>_xlfn.XLOOKUP($C25,MATRIX!$C$8:$C$128,MATRIX!R$8:R$128,)</f>
        <v>YES</v>
      </c>
      <c r="S25" s="4" t="str">
        <f>_xlfn.XLOOKUP($C25,MATRIX!$C$8:$C$128,MATRIX!S$8:S$128,)</f>
        <v>YES</v>
      </c>
      <c r="T25" s="4" t="str">
        <f>_xlfn.XLOOKUP($C25,MATRIX!$C$8:$C$128,MATRIX!T$8:T$128,)</f>
        <v>YES</v>
      </c>
      <c r="U25" s="4"/>
      <c r="V25" s="4">
        <f>_xlfn.XLOOKUP($C25,MATRIX!$C$8:$C$128,MATRIX!V$8:V$128,)</f>
        <v>0</v>
      </c>
      <c r="W25" s="135" t="s">
        <v>425</v>
      </c>
    </row>
    <row r="26" spans="1:23" ht="43.5" outlineLevel="1" x14ac:dyDescent="0.35">
      <c r="A26" s="10"/>
      <c r="B26" s="4" t="str">
        <f>_xlfn.XLOOKUP($C26,MATRIX!$C$8:$C$128,MATRIX!B$8:B$128,)</f>
        <v>STRUCTURAL</v>
      </c>
      <c r="C26" s="145" t="s">
        <v>360</v>
      </c>
      <c r="D26" s="4" t="str">
        <f>_xlfn.XLOOKUP($C26,MATRIX!$C$8:$C$128,MATRIX!D$8:D$128,)</f>
        <v>Address water infiltration and make necessary repairs at foundation wall below Hooker Entrance</v>
      </c>
      <c r="E26" s="4" t="str">
        <f>_xlfn.XLOOKUP($C26,MATRIX!$C$8:$C$128,MATRIX!E$8:E$128,)</f>
        <v>DEFERRED MAINTENANCE</v>
      </c>
      <c r="F26" s="4" t="str">
        <f>_xlfn.XLOOKUP($C26,MATRIX!$C$8:$C$128,MATRIX!F$8:F$128,)</f>
        <v>2_MID 5-10 years</v>
      </c>
      <c r="G26" s="4" t="str">
        <f>_xlfn.XLOOKUP($C26,MATRIX!$C$8:$C$128,MATRIX!G$8:G$128,)</f>
        <v>EAST WING</v>
      </c>
      <c r="H26" s="4" t="str">
        <f>_xlfn.XLOOKUP($C26,MATRIX!$C$8:$C$128,MATRIX!H$8:H$128,)</f>
        <v>LEVELS BELOW GRADE</v>
      </c>
      <c r="I26" s="4" t="str">
        <f>_xlfn.XLOOKUP($C26,MATRIX!$C$8:$C$128,MATRIX!I$8:I$128,)</f>
        <v>LOW</v>
      </c>
      <c r="J26" s="4" t="str">
        <f>_xlfn.XLOOKUP($C26,MATRIX!$C$8:$C$128,MATRIX!J$8:J$128,)</f>
        <v>LOW</v>
      </c>
      <c r="K26" s="4" t="str">
        <f>_xlfn.XLOOKUP($C26,MATRIX!$C$8:$C$128,MATRIX!K$8:K$128,)</f>
        <v>LOW</v>
      </c>
      <c r="L26" s="4" t="str">
        <f>_xlfn.XLOOKUP($C26,MATRIX!$C$8:$C$128,MATRIX!L$8:L$128,)</f>
        <v>$$ MODERATE</v>
      </c>
      <c r="M26" s="4" t="str">
        <f>_xlfn.XLOOKUP($C26,MATRIX!$C$8:$C$128,MATRIX!M$8:M$128,)</f>
        <v>MINIMAL IMPACT</v>
      </c>
      <c r="N26" s="4" t="str">
        <f>_xlfn.XLOOKUP($C26,MATRIX!$C$8:$C$128,MATRIX!N$8:N$128,)</f>
        <v>N/A</v>
      </c>
      <c r="O26" s="4" t="str">
        <f>_xlfn.XLOOKUP($C26,MATRIX!$C$8:$C$128,MATRIX!O$8:O$128,)</f>
        <v>N/A</v>
      </c>
      <c r="P26" s="4" t="str">
        <f>_xlfn.XLOOKUP($C26,MATRIX!$C$8:$C$128,MATRIX!P$8:P$128,)</f>
        <v>NO</v>
      </c>
      <c r="Q26" s="4" t="str">
        <f>_xlfn.XLOOKUP($C26,MATRIX!$C$8:$C$128,MATRIX!Q$8:Q$128,)</f>
        <v>YES</v>
      </c>
      <c r="R26" s="4" t="str">
        <f>_xlfn.XLOOKUP($C26,MATRIX!$C$8:$C$128,MATRIX!R$8:R$128,)</f>
        <v>NO</v>
      </c>
      <c r="S26" s="4" t="str">
        <f>_xlfn.XLOOKUP($C26,MATRIX!$C$8:$C$128,MATRIX!S$8:S$128,)</f>
        <v>NO</v>
      </c>
      <c r="T26" s="4" t="str">
        <f>_xlfn.XLOOKUP($C26,MATRIX!$C$8:$C$128,MATRIX!T$8:T$128,)</f>
        <v>NO</v>
      </c>
      <c r="U26" s="4"/>
      <c r="V26" s="4">
        <f>_xlfn.XLOOKUP($C26,MATRIX!$C$8:$C$128,MATRIX!V$8:V$128,)</f>
        <v>0</v>
      </c>
      <c r="W26" s="4" t="s">
        <v>426</v>
      </c>
    </row>
    <row r="27" spans="1:23" x14ac:dyDescent="0.35">
      <c r="A27" s="10"/>
      <c r="B27" s="4"/>
      <c r="C27" s="145"/>
      <c r="D27" s="4"/>
      <c r="E27" s="4"/>
      <c r="F27" s="4"/>
      <c r="G27" s="4"/>
      <c r="H27" s="4"/>
      <c r="I27" s="4"/>
      <c r="J27" s="4"/>
      <c r="K27" s="4"/>
      <c r="L27" s="4"/>
      <c r="M27" s="4"/>
      <c r="N27" s="4"/>
      <c r="O27" s="4"/>
      <c r="P27" s="4"/>
      <c r="Q27" s="4"/>
      <c r="R27" s="4"/>
      <c r="S27" s="4"/>
      <c r="T27" s="4"/>
      <c r="U27" s="4"/>
      <c r="V27" s="4"/>
      <c r="W27" s="4"/>
    </row>
    <row r="28" spans="1:23" x14ac:dyDescent="0.35">
      <c r="A28" s="141" t="s">
        <v>427</v>
      </c>
      <c r="B28" s="141" t="s">
        <v>428</v>
      </c>
      <c r="C28" s="142"/>
      <c r="D28" s="143"/>
      <c r="E28" s="144"/>
      <c r="F28" s="144"/>
      <c r="G28" s="144"/>
      <c r="H28" s="144"/>
      <c r="I28" s="144"/>
      <c r="J28" s="144"/>
      <c r="K28" s="144"/>
      <c r="L28" s="144"/>
      <c r="M28" s="144"/>
      <c r="N28" s="144"/>
      <c r="O28" s="144"/>
      <c r="P28" s="144"/>
      <c r="Q28" s="144"/>
      <c r="R28" s="144"/>
      <c r="S28" s="144"/>
      <c r="T28" s="144"/>
      <c r="U28" s="144"/>
      <c r="V28" s="144"/>
      <c r="W28" s="143"/>
    </row>
    <row r="29" spans="1:23" ht="58" outlineLevel="1" x14ac:dyDescent="0.35">
      <c r="A29" s="10"/>
      <c r="B29" s="4" t="str">
        <f>_xlfn.XLOOKUP($C29,MATRIX!$C$8:$C$128,MATRIX!B$8:B$128,)</f>
        <v>HISTORIC PRESERVATION</v>
      </c>
      <c r="C29" s="145" t="s">
        <v>301</v>
      </c>
      <c r="D29" s="4" t="str">
        <f>_xlfn.XLOOKUP($C29,MATRIX!$C$8:$C$128,MATRIX!D$8:D$128,)</f>
        <v>Great Stair murals. Clean and restore.</v>
      </c>
      <c r="E29" s="4" t="str">
        <f>_xlfn.XLOOKUP($C29,MATRIX!$C$8:$C$128,MATRIX!E$8:E$128,)</f>
        <v>RESTORATION *</v>
      </c>
      <c r="F29" s="4" t="str">
        <f>_xlfn.XLOOKUP($C29,MATRIX!$C$8:$C$128,MATRIX!F$8:F$128,)</f>
        <v>3_LOW 10-20 years</v>
      </c>
      <c r="G29" s="4" t="str">
        <f>_xlfn.XLOOKUP($C29,MATRIX!$C$8:$C$128,MATRIX!G$8:G$128,)</f>
        <v>ANNEX</v>
      </c>
      <c r="H29" s="4" t="str">
        <f>_xlfn.XLOOKUP($C29,MATRIX!$C$8:$C$128,MATRIX!H$8:H$128,)</f>
        <v>LEVELS ABOVE GRADE</v>
      </c>
      <c r="I29" s="4" t="str">
        <f>_xlfn.XLOOKUP($C29,MATRIX!$C$8:$C$128,MATRIX!I$8:I$128,)</f>
        <v>MODERATE</v>
      </c>
      <c r="J29" s="4" t="str">
        <f>_xlfn.XLOOKUP($C29,MATRIX!$C$8:$C$128,MATRIX!J$8:J$128,)</f>
        <v>LOW</v>
      </c>
      <c r="K29" s="4" t="str">
        <f>_xlfn.XLOOKUP($C29,MATRIX!$C$8:$C$128,MATRIX!K$8:K$128,)</f>
        <v>HIGH</v>
      </c>
      <c r="L29" s="4" t="str">
        <f>_xlfn.XLOOKUP($C29,MATRIX!$C$8:$C$128,MATRIX!L$8:L$128,)</f>
        <v>$$ MODERATE</v>
      </c>
      <c r="M29" s="4" t="str">
        <f>_xlfn.XLOOKUP($C29,MATRIX!$C$8:$C$128,MATRIX!M$8:M$128,)</f>
        <v>N/A</v>
      </c>
      <c r="N29" s="4" t="str">
        <f>_xlfn.XLOOKUP($C29,MATRIX!$C$8:$C$128,MATRIX!N$8:N$128,)</f>
        <v>N/A</v>
      </c>
      <c r="O29" s="4" t="str">
        <f>_xlfn.XLOOKUP($C29,MATRIX!$C$8:$C$128,MATRIX!O$8:O$128,)</f>
        <v>N/A</v>
      </c>
      <c r="P29" s="4" t="str">
        <f>_xlfn.XLOOKUP($C29,MATRIX!$C$8:$C$128,MATRIX!P$8:P$128,)</f>
        <v>NO</v>
      </c>
      <c r="Q29" s="4" t="str">
        <f>_xlfn.XLOOKUP($C29,MATRIX!$C$8:$C$128,MATRIX!Q$8:Q$128,)</f>
        <v>YES</v>
      </c>
      <c r="R29" s="4" t="str">
        <f>_xlfn.XLOOKUP($C29,MATRIX!$C$8:$C$128,MATRIX!R$8:R$128,)</f>
        <v>NO</v>
      </c>
      <c r="S29" s="4" t="str">
        <f>_xlfn.XLOOKUP($C29,MATRIX!$C$8:$C$128,MATRIX!S$8:S$128,)</f>
        <v>NO</v>
      </c>
      <c r="T29" s="4" t="str">
        <f>_xlfn.XLOOKUP($C29,MATRIX!$C$8:$C$128,MATRIX!T$8:T$128,)</f>
        <v>YES</v>
      </c>
      <c r="U29" s="4"/>
      <c r="V29" s="4">
        <f>_xlfn.XLOOKUP($C29,MATRIX!$C$8:$C$128,MATRIX!V$8:V$128,)</f>
        <v>0</v>
      </c>
      <c r="W29" s="135" t="s">
        <v>429</v>
      </c>
    </row>
    <row r="30" spans="1:23" ht="43.5" outlineLevel="1" x14ac:dyDescent="0.35">
      <c r="A30" s="10"/>
      <c r="B30" s="4" t="str">
        <f>_xlfn.XLOOKUP($C30,MATRIX!$C$8:$C$128,MATRIX!B$8:B$128,)</f>
        <v>HISTORIC PRESERVATION</v>
      </c>
      <c r="C30" s="145" t="s">
        <v>304</v>
      </c>
      <c r="D30" s="4" t="str">
        <f>_xlfn.XLOOKUP($C30,MATRIX!$C$8:$C$128,MATRIX!D$8:D$128,)</f>
        <v>Cleaning/ Restoration Interior Stained Glass Skylights</v>
      </c>
      <c r="E30" s="4" t="str">
        <f>_xlfn.XLOOKUP($C30,MATRIX!$C$8:$C$128,MATRIX!E$8:E$128,)</f>
        <v>RESTORATION *</v>
      </c>
      <c r="F30" s="4" t="str">
        <f>_xlfn.XLOOKUP($C30,MATRIX!$C$8:$C$128,MATRIX!F$8:F$128,)</f>
        <v>3_LOW 10-20 years</v>
      </c>
      <c r="G30" s="4" t="str">
        <f>_xlfn.XLOOKUP($C30,MATRIX!$C$8:$C$128,MATRIX!G$8:G$128,)</f>
        <v>WHOLE BUILDING</v>
      </c>
      <c r="H30" s="4" t="str">
        <f>_xlfn.XLOOKUP($C30,MATRIX!$C$8:$C$128,MATRIX!H$8:H$128,)</f>
        <v>LEVELS ABOVE GRADE</v>
      </c>
      <c r="I30" s="4" t="str">
        <f>_xlfn.XLOOKUP($C30,MATRIX!$C$8:$C$128,MATRIX!I$8:I$128,)</f>
        <v>MODERATE</v>
      </c>
      <c r="J30" s="4" t="str">
        <f>_xlfn.XLOOKUP($C30,MATRIX!$C$8:$C$128,MATRIX!J$8:J$128,)</f>
        <v>MODERATE</v>
      </c>
      <c r="K30" s="4" t="str">
        <f>_xlfn.XLOOKUP($C30,MATRIX!$C$8:$C$128,MATRIX!K$8:K$128,)</f>
        <v>HIGH</v>
      </c>
      <c r="L30" s="4" t="str">
        <f>_xlfn.XLOOKUP($C30,MATRIX!$C$8:$C$128,MATRIX!L$8:L$128,)</f>
        <v>$$ MODERATE</v>
      </c>
      <c r="M30" s="4" t="str">
        <f>_xlfn.XLOOKUP($C30,MATRIX!$C$8:$C$128,MATRIX!M$8:M$128,)</f>
        <v>N/A</v>
      </c>
      <c r="N30" s="4" t="str">
        <f>_xlfn.XLOOKUP($C30,MATRIX!$C$8:$C$128,MATRIX!N$8:N$128,)</f>
        <v>N/A</v>
      </c>
      <c r="O30" s="4" t="str">
        <f>_xlfn.XLOOKUP($C30,MATRIX!$C$8:$C$128,MATRIX!O$8:O$128,)</f>
        <v>N/A</v>
      </c>
      <c r="P30" s="4" t="str">
        <f>_xlfn.XLOOKUP($C30,MATRIX!$C$8:$C$128,MATRIX!P$8:P$128,)</f>
        <v>NO</v>
      </c>
      <c r="Q30" s="4" t="str">
        <f>_xlfn.XLOOKUP($C30,MATRIX!$C$8:$C$128,MATRIX!Q$8:Q$128,)</f>
        <v>YES</v>
      </c>
      <c r="R30" s="4" t="str">
        <f>_xlfn.XLOOKUP($C30,MATRIX!$C$8:$C$128,MATRIX!R$8:R$128,)</f>
        <v>NO</v>
      </c>
      <c r="S30" s="4" t="str">
        <f>_xlfn.XLOOKUP($C30,MATRIX!$C$8:$C$128,MATRIX!S$8:S$128,)</f>
        <v>NO</v>
      </c>
      <c r="T30" s="4" t="str">
        <f>_xlfn.XLOOKUP($C30,MATRIX!$C$8:$C$128,MATRIX!T$8:T$128,)</f>
        <v>YES</v>
      </c>
      <c r="U30" s="4"/>
      <c r="V30" s="4">
        <f>_xlfn.XLOOKUP($C30,MATRIX!$C$8:$C$128,MATRIX!V$8:V$128,)</f>
        <v>0</v>
      </c>
      <c r="W30" s="135" t="s">
        <v>430</v>
      </c>
    </row>
    <row r="31" spans="1:23" x14ac:dyDescent="0.35">
      <c r="A31" s="10"/>
      <c r="B31" s="4"/>
      <c r="C31" s="145"/>
      <c r="D31" s="4"/>
      <c r="E31" s="4"/>
      <c r="F31" s="4"/>
      <c r="G31" s="4"/>
      <c r="H31" s="4"/>
      <c r="I31" s="4"/>
      <c r="J31" s="4"/>
      <c r="K31" s="4"/>
      <c r="L31" s="4"/>
      <c r="M31" s="4"/>
      <c r="N31" s="4"/>
      <c r="O31" s="4"/>
      <c r="P31" s="4"/>
      <c r="Q31" s="4"/>
      <c r="R31" s="4"/>
      <c r="S31" s="4"/>
      <c r="T31" s="4"/>
      <c r="U31" s="4"/>
      <c r="V31" s="4"/>
      <c r="W31" s="4"/>
    </row>
    <row r="32" spans="1:23" x14ac:dyDescent="0.35">
      <c r="A32" s="40"/>
      <c r="B32" s="40"/>
      <c r="C32" s="145"/>
      <c r="D32" s="4"/>
      <c r="E32" s="40"/>
      <c r="F32" s="40"/>
      <c r="G32" s="40"/>
      <c r="H32" s="40"/>
      <c r="I32" s="40"/>
      <c r="J32" s="40"/>
      <c r="K32" s="40"/>
      <c r="L32" s="40"/>
      <c r="M32" s="40"/>
      <c r="N32" s="40"/>
      <c r="O32" s="40"/>
      <c r="P32" s="40"/>
      <c r="Q32" s="40"/>
      <c r="R32" s="40"/>
      <c r="S32" s="40"/>
      <c r="T32" s="40"/>
      <c r="U32" s="40"/>
      <c r="V32" s="40"/>
      <c r="W32" s="4"/>
    </row>
    <row r="33" spans="1:23" x14ac:dyDescent="0.35">
      <c r="A33" s="141" t="s">
        <v>431</v>
      </c>
      <c r="B33" s="141" t="s">
        <v>432</v>
      </c>
      <c r="C33" s="142"/>
      <c r="D33" s="143"/>
      <c r="E33" s="144"/>
      <c r="F33" s="144"/>
      <c r="G33" s="144"/>
      <c r="H33" s="144"/>
      <c r="I33" s="144"/>
      <c r="J33" s="144"/>
      <c r="K33" s="144"/>
      <c r="L33" s="144"/>
      <c r="M33" s="144"/>
      <c r="N33" s="144"/>
      <c r="O33" s="144"/>
      <c r="P33" s="144"/>
      <c r="Q33" s="144"/>
      <c r="R33" s="144"/>
      <c r="S33" s="144"/>
      <c r="T33" s="144"/>
      <c r="U33" s="144"/>
      <c r="V33" s="144"/>
      <c r="W33" s="143"/>
    </row>
    <row r="34" spans="1:23" ht="43.5" outlineLevel="1" x14ac:dyDescent="0.35">
      <c r="A34" s="52" t="s">
        <v>433</v>
      </c>
      <c r="B34" s="4" t="e">
        <f>_xlfn.XLOOKUP($C34,MATRIX!$C$8:$C$128,MATRIX!B$8:B$128,)</f>
        <v>#N/A</v>
      </c>
      <c r="C34" s="145" t="s">
        <v>434</v>
      </c>
      <c r="D34" s="4" t="e">
        <f>_xlfn.XLOOKUP($C34,MATRIX!$C$8:$C$128,MATRIX!D$8:D$128,)</f>
        <v>#N/A</v>
      </c>
      <c r="E34" s="4" t="e">
        <f>_xlfn.XLOOKUP($C34,MATRIX!$C$8:$C$128,MATRIX!E$8:E$128,)</f>
        <v>#N/A</v>
      </c>
      <c r="F34" s="4" t="e">
        <f>_xlfn.XLOOKUP($C34,MATRIX!$C$8:$C$128,MATRIX!F$8:F$128,)</f>
        <v>#N/A</v>
      </c>
      <c r="G34" s="4" t="e">
        <f>_xlfn.XLOOKUP($C34,MATRIX!$C$8:$C$128,MATRIX!G$8:G$128,)</f>
        <v>#N/A</v>
      </c>
      <c r="H34" s="4" t="e">
        <f>_xlfn.XLOOKUP($C34,MATRIX!$C$8:$C$128,MATRIX!H$8:H$128,)</f>
        <v>#N/A</v>
      </c>
      <c r="I34" s="4" t="e">
        <f>_xlfn.XLOOKUP($C34,MATRIX!$C$8:$C$128,MATRIX!I$8:I$128,)</f>
        <v>#N/A</v>
      </c>
      <c r="J34" s="4" t="e">
        <f>_xlfn.XLOOKUP($C34,MATRIX!$C$8:$C$128,MATRIX!J$8:J$128,)</f>
        <v>#N/A</v>
      </c>
      <c r="K34" s="4" t="e">
        <f>_xlfn.XLOOKUP($C34,MATRIX!$C$8:$C$128,MATRIX!K$8:K$128,)</f>
        <v>#N/A</v>
      </c>
      <c r="L34" s="4" t="e">
        <f>_xlfn.XLOOKUP($C34,MATRIX!$C$8:$C$128,MATRIX!L$8:L$128,)</f>
        <v>#N/A</v>
      </c>
      <c r="M34" s="4" t="e">
        <f>_xlfn.XLOOKUP($C34,MATRIX!$C$8:$C$128,MATRIX!M$8:M$128,)</f>
        <v>#N/A</v>
      </c>
      <c r="N34" s="4" t="e">
        <f>_xlfn.XLOOKUP($C34,MATRIX!$C$8:$C$128,MATRIX!N$8:N$128,)</f>
        <v>#N/A</v>
      </c>
      <c r="O34" s="4" t="e">
        <f>_xlfn.XLOOKUP($C34,MATRIX!$C$8:$C$128,MATRIX!O$8:O$128,)</f>
        <v>#N/A</v>
      </c>
      <c r="P34" s="4" t="e">
        <f>_xlfn.XLOOKUP($C34,MATRIX!$C$8:$C$128,MATRIX!P$8:P$128,)</f>
        <v>#N/A</v>
      </c>
      <c r="Q34" s="4" t="e">
        <f>_xlfn.XLOOKUP($C34,MATRIX!$C$8:$C$128,MATRIX!Q$8:Q$128,)</f>
        <v>#N/A</v>
      </c>
      <c r="R34" s="4" t="e">
        <f>_xlfn.XLOOKUP($C34,MATRIX!$C$8:$C$128,MATRIX!R$8:R$128,)</f>
        <v>#N/A</v>
      </c>
      <c r="S34" s="4" t="e">
        <f>_xlfn.XLOOKUP($C34,MATRIX!$C$8:$C$128,MATRIX!S$8:S$128,)</f>
        <v>#N/A</v>
      </c>
      <c r="T34" s="4" t="e">
        <f>_xlfn.XLOOKUP($C34,MATRIX!$C$8:$C$128,MATRIX!T$8:T$128,)</f>
        <v>#N/A</v>
      </c>
      <c r="U34" s="4"/>
      <c r="V34" s="4" t="e">
        <f>_xlfn.XLOOKUP($C34,MATRIX!$C$8:$C$128,MATRIX!V$8:V$128,)</f>
        <v>#N/A</v>
      </c>
      <c r="W34" s="135" t="s">
        <v>435</v>
      </c>
    </row>
    <row r="35" spans="1:23" ht="29" outlineLevel="1" x14ac:dyDescent="0.35">
      <c r="A35" s="10"/>
      <c r="B35" s="4" t="str">
        <f>_xlfn.XLOOKUP($C35,MATRIX!$C$8:$C$128,MATRIX!B$8:B$128,)</f>
        <v>ENVELOPE</v>
      </c>
      <c r="C35" s="145" t="s">
        <v>206</v>
      </c>
      <c r="D35" s="4" t="str">
        <f>_xlfn.XLOOKUP($C35,MATRIX!$C$8:$C$128,MATRIX!D$8:D$128,)</f>
        <v>New insulation at underside of sloped Annex Roofs</v>
      </c>
      <c r="E35" s="4" t="str">
        <f>_xlfn.XLOOKUP($C35,MATRIX!$C$8:$C$128,MATRIX!E$8:E$128,)</f>
        <v>UPGRADES / IMPROVEMENTS</v>
      </c>
      <c r="F35" s="4" t="str">
        <f>_xlfn.XLOOKUP($C35,MATRIX!$C$8:$C$128,MATRIX!F$8:F$128,)</f>
        <v>1_HIGH &lt;5 years</v>
      </c>
      <c r="G35" s="4" t="str">
        <f>_xlfn.XLOOKUP($C35,MATRIX!$C$8:$C$128,MATRIX!G$8:G$128,)</f>
        <v>ANNEX</v>
      </c>
      <c r="H35" s="4" t="str">
        <f>_xlfn.XLOOKUP($C35,MATRIX!$C$8:$C$128,MATRIX!H$8:H$128,)</f>
        <v>ROOF</v>
      </c>
      <c r="I35" s="4">
        <f>_xlfn.XLOOKUP($C35,MATRIX!$C$8:$C$128,MATRIX!I$8:I$128,)</f>
        <v>0</v>
      </c>
      <c r="J35" s="4">
        <f>_xlfn.XLOOKUP($C35,MATRIX!$C$8:$C$128,MATRIX!J$8:J$128,)</f>
        <v>0</v>
      </c>
      <c r="K35" s="4">
        <f>_xlfn.XLOOKUP($C35,MATRIX!$C$8:$C$128,MATRIX!K$8:K$128,)</f>
        <v>0</v>
      </c>
      <c r="L35" s="4">
        <f>_xlfn.XLOOKUP($C35,MATRIX!$C$8:$C$128,MATRIX!L$8:L$128,)</f>
        <v>0</v>
      </c>
      <c r="M35" s="4">
        <f>_xlfn.XLOOKUP($C35,MATRIX!$C$8:$C$128,MATRIX!M$8:M$128,)</f>
        <v>0</v>
      </c>
      <c r="N35" s="4">
        <f>_xlfn.XLOOKUP($C35,MATRIX!$C$8:$C$128,MATRIX!N$8:N$128,)</f>
        <v>0</v>
      </c>
      <c r="O35" s="4">
        <f>_xlfn.XLOOKUP($C35,MATRIX!$C$8:$C$128,MATRIX!O$8:O$128,)</f>
        <v>0</v>
      </c>
      <c r="P35" s="4">
        <f>_xlfn.XLOOKUP($C35,MATRIX!$C$8:$C$128,MATRIX!P$8:P$128,)</f>
        <v>0</v>
      </c>
      <c r="Q35" s="4">
        <f>_xlfn.XLOOKUP($C35,MATRIX!$C$8:$C$128,MATRIX!Q$8:Q$128,)</f>
        <v>0</v>
      </c>
      <c r="R35" s="4">
        <f>_xlfn.XLOOKUP($C35,MATRIX!$C$8:$C$128,MATRIX!R$8:R$128,)</f>
        <v>0</v>
      </c>
      <c r="S35" s="4">
        <f>_xlfn.XLOOKUP($C35,MATRIX!$C$8:$C$128,MATRIX!S$8:S$128,)</f>
        <v>0</v>
      </c>
      <c r="T35" s="4">
        <f>_xlfn.XLOOKUP($C35,MATRIX!$C$8:$C$128,MATRIX!T$8:T$128,)</f>
        <v>0</v>
      </c>
      <c r="U35" s="4"/>
      <c r="V35" s="4">
        <f>_xlfn.XLOOKUP($C35,MATRIX!$C$8:$C$128,MATRIX!V$8:V$128,)</f>
        <v>0</v>
      </c>
      <c r="W35" s="135" t="s">
        <v>436</v>
      </c>
    </row>
    <row r="36" spans="1:23" ht="43.5" outlineLevel="1" x14ac:dyDescent="0.35">
      <c r="A36" s="40"/>
      <c r="B36" s="4" t="str">
        <f>_xlfn.XLOOKUP($C36,MATRIX!$C$8:$C$128,MATRIX!B$8:B$128,)</f>
        <v>ENVELOPE</v>
      </c>
      <c r="C36" s="145" t="s">
        <v>231</v>
      </c>
      <c r="D36" s="4" t="str">
        <f>_xlfn.XLOOKUP($C36,MATRIX!$C$8:$C$128,MATRIX!D$8:D$128,)</f>
        <v>Annex Modified Bitumen Roofs: replace w/ new insulation to meet energy code</v>
      </c>
      <c r="E36" s="4" t="str">
        <f>_xlfn.XLOOKUP($C36,MATRIX!$C$8:$C$128,MATRIX!E$8:E$128,)</f>
        <v>END OF LIFE</v>
      </c>
      <c r="F36" s="4" t="str">
        <f>_xlfn.XLOOKUP($C36,MATRIX!$C$8:$C$128,MATRIX!F$8:F$128,)</f>
        <v>4_FUTURE &gt;20 years</v>
      </c>
      <c r="G36" s="4" t="str">
        <f>_xlfn.XLOOKUP($C36,MATRIX!$C$8:$C$128,MATRIX!G$8:G$128,)</f>
        <v>ANNEX</v>
      </c>
      <c r="H36" s="4" t="str">
        <f>_xlfn.XLOOKUP($C36,MATRIX!$C$8:$C$128,MATRIX!H$8:H$128,)</f>
        <v>ROOF</v>
      </c>
      <c r="I36" s="4" t="str">
        <f>_xlfn.XLOOKUP($C36,MATRIX!$C$8:$C$128,MATRIX!I$8:I$128,)</f>
        <v>MODERATE</v>
      </c>
      <c r="J36" s="4" t="str">
        <f>_xlfn.XLOOKUP($C36,MATRIX!$C$8:$C$128,MATRIX!J$8:J$128,)</f>
        <v>N/A</v>
      </c>
      <c r="K36" s="4" t="str">
        <f>_xlfn.XLOOKUP($C36,MATRIX!$C$8:$C$128,MATRIX!K$8:K$128,)</f>
        <v>N/A</v>
      </c>
      <c r="L36" s="4" t="str">
        <f>_xlfn.XLOOKUP($C36,MATRIX!$C$8:$C$128,MATRIX!L$8:L$128,)</f>
        <v>$$ MODERATE</v>
      </c>
      <c r="M36" s="4" t="str">
        <f>_xlfn.XLOOKUP($C36,MATRIX!$C$8:$C$128,MATRIX!M$8:M$128,)</f>
        <v>MODERATE REDUCTION</v>
      </c>
      <c r="N36" s="4" t="str">
        <f>_xlfn.XLOOKUP($C36,MATRIX!$C$8:$C$128,MATRIX!N$8:N$128,)</f>
        <v>MINIMAL IMPACT</v>
      </c>
      <c r="O36" s="4" t="str">
        <f>_xlfn.XLOOKUP($C36,MATRIX!$C$8:$C$128,MATRIX!O$8:O$128,)</f>
        <v>N/A</v>
      </c>
      <c r="P36" s="4" t="str">
        <f>_xlfn.XLOOKUP($C36,MATRIX!$C$8:$C$128,MATRIX!P$8:P$128,)</f>
        <v>NO</v>
      </c>
      <c r="Q36" s="4" t="str">
        <f>_xlfn.XLOOKUP($C36,MATRIX!$C$8:$C$128,MATRIX!Q$8:Q$128,)</f>
        <v>NO</v>
      </c>
      <c r="R36" s="4" t="str">
        <f>_xlfn.XLOOKUP($C36,MATRIX!$C$8:$C$128,MATRIX!R$8:R$128,)</f>
        <v>NO</v>
      </c>
      <c r="S36" s="4" t="str">
        <f>_xlfn.XLOOKUP($C36,MATRIX!$C$8:$C$128,MATRIX!S$8:S$128,)</f>
        <v>NO</v>
      </c>
      <c r="T36" s="4" t="str">
        <f>_xlfn.XLOOKUP($C36,MATRIX!$C$8:$C$128,MATRIX!T$8:T$128,)</f>
        <v>NO</v>
      </c>
      <c r="U36" s="4"/>
      <c r="V36" s="4">
        <f>_xlfn.XLOOKUP($C36,MATRIX!$C$8:$C$128,MATRIX!V$8:V$128,)</f>
        <v>0</v>
      </c>
      <c r="W36" s="135" t="s">
        <v>437</v>
      </c>
    </row>
    <row r="37" spans="1:23" ht="43.5" outlineLevel="1" x14ac:dyDescent="0.35">
      <c r="A37" s="10"/>
      <c r="B37" s="4" t="str">
        <f>_xlfn.XLOOKUP($C37,MATRIX!$C$8:$C$128,MATRIX!B$8:B$128,)</f>
        <v>ENVELOPE</v>
      </c>
      <c r="C37" s="145" t="s">
        <v>239</v>
      </c>
      <c r="D37" s="4" t="str">
        <f>_xlfn.XLOOKUP($C37,MATRIX!$C$8:$C$128,MATRIX!D$8:D$128,)</f>
        <v>Annex Skylights: replace skylights w/ high performance glazing per energy code</v>
      </c>
      <c r="E37" s="4" t="str">
        <f>_xlfn.XLOOKUP($C37,MATRIX!$C$8:$C$128,MATRIX!E$8:E$128,)</f>
        <v>END OF LIFE</v>
      </c>
      <c r="F37" s="4" t="str">
        <f>_xlfn.XLOOKUP($C37,MATRIX!$C$8:$C$128,MATRIX!F$8:F$128,)</f>
        <v>1_HIGH &lt;5 years</v>
      </c>
      <c r="G37" s="4" t="str">
        <f>_xlfn.XLOOKUP($C37,MATRIX!$C$8:$C$128,MATRIX!G$8:G$128,)</f>
        <v>ANNEX</v>
      </c>
      <c r="H37" s="4" t="str">
        <f>_xlfn.XLOOKUP($C37,MATRIX!$C$8:$C$128,MATRIX!H$8:H$128,)</f>
        <v>ROOF</v>
      </c>
      <c r="I37" s="4" t="str">
        <f>_xlfn.XLOOKUP($C37,MATRIX!$C$8:$C$128,MATRIX!I$8:I$128,)</f>
        <v>HIGH</v>
      </c>
      <c r="J37" s="4" t="str">
        <f>_xlfn.XLOOKUP($C37,MATRIX!$C$8:$C$128,MATRIX!J$8:J$128,)</f>
        <v>N/A</v>
      </c>
      <c r="K37" s="4" t="str">
        <f>_xlfn.XLOOKUP($C37,MATRIX!$C$8:$C$128,MATRIX!K$8:K$128,)</f>
        <v>N/A</v>
      </c>
      <c r="L37" s="4" t="str">
        <f>_xlfn.XLOOKUP($C37,MATRIX!$C$8:$C$128,MATRIX!L$8:L$128,)</f>
        <v>$$ MODERATE</v>
      </c>
      <c r="M37" s="4" t="str">
        <f>_xlfn.XLOOKUP($C37,MATRIX!$C$8:$C$128,MATRIX!M$8:M$128,)</f>
        <v>MINIMAL IMPACT</v>
      </c>
      <c r="N37" s="4" t="str">
        <f>_xlfn.XLOOKUP($C37,MATRIX!$C$8:$C$128,MATRIX!N$8:N$128,)</f>
        <v>MINIMAL IMPACT</v>
      </c>
      <c r="O37" s="4" t="str">
        <f>_xlfn.XLOOKUP($C37,MATRIX!$C$8:$C$128,MATRIX!O$8:O$128,)</f>
        <v>N/A</v>
      </c>
      <c r="P37" s="4" t="str">
        <f>_xlfn.XLOOKUP($C37,MATRIX!$C$8:$C$128,MATRIX!P$8:P$128,)</f>
        <v>NO</v>
      </c>
      <c r="Q37" s="4" t="str">
        <f>_xlfn.XLOOKUP($C37,MATRIX!$C$8:$C$128,MATRIX!Q$8:Q$128,)</f>
        <v>NO</v>
      </c>
      <c r="R37" s="4" t="str">
        <f>_xlfn.XLOOKUP($C37,MATRIX!$C$8:$C$128,MATRIX!R$8:R$128,)</f>
        <v>NO</v>
      </c>
      <c r="S37" s="4" t="str">
        <f>_xlfn.XLOOKUP($C37,MATRIX!$C$8:$C$128,MATRIX!S$8:S$128,)</f>
        <v>NO</v>
      </c>
      <c r="T37" s="4" t="str">
        <f>_xlfn.XLOOKUP($C37,MATRIX!$C$8:$C$128,MATRIX!T$8:T$128,)</f>
        <v>NO</v>
      </c>
      <c r="U37" s="4"/>
      <c r="V37" s="4">
        <f>_xlfn.XLOOKUP($C37,MATRIX!$C$8:$C$128,MATRIX!V$8:V$128,)</f>
        <v>0</v>
      </c>
      <c r="W37" s="135" t="s">
        <v>438</v>
      </c>
    </row>
    <row r="38" spans="1:23" ht="7.5" customHeight="1" outlineLevel="1" x14ac:dyDescent="0.35">
      <c r="A38" s="10"/>
      <c r="B38" s="4"/>
      <c r="C38" s="145"/>
      <c r="D38" s="4"/>
      <c r="E38" s="4"/>
      <c r="F38" s="4"/>
      <c r="G38" s="4"/>
      <c r="H38" s="4"/>
      <c r="I38" s="4"/>
      <c r="J38" s="4"/>
      <c r="K38" s="4"/>
      <c r="L38" s="4"/>
      <c r="M38" s="4"/>
      <c r="N38" s="4"/>
      <c r="O38" s="4"/>
      <c r="P38" s="4"/>
      <c r="Q38" s="4"/>
      <c r="R38" s="4"/>
      <c r="S38" s="4"/>
      <c r="T38" s="4"/>
      <c r="U38" s="4"/>
      <c r="V38" s="4"/>
      <c r="W38" s="4"/>
    </row>
    <row r="39" spans="1:23" ht="43.5" outlineLevel="1" x14ac:dyDescent="0.35">
      <c r="A39" s="52" t="s">
        <v>439</v>
      </c>
      <c r="B39" s="4" t="str">
        <f>_xlfn.XLOOKUP($C39,MATRIX!$C$8:$C$128,MATRIX!B$8:B$128,)</f>
        <v>ENVELOPE</v>
      </c>
      <c r="C39" s="145" t="s">
        <v>213</v>
      </c>
      <c r="D39" s="4" t="str">
        <f>_xlfn.XLOOKUP($C39,MATRIX!$C$8:$C$128,MATRIX!D$8:D$128,)</f>
        <v xml:space="preserve">Wing Slate Roofs: Replace cracked and missing slate. </v>
      </c>
      <c r="E39" s="4" t="str">
        <f>_xlfn.XLOOKUP($C39,MATRIX!$C$8:$C$128,MATRIX!E$8:E$128,)</f>
        <v>DEFERRED MAINTENANCE</v>
      </c>
      <c r="F39" s="4" t="str">
        <f>_xlfn.XLOOKUP($C39,MATRIX!$C$8:$C$128,MATRIX!F$8:F$128,)</f>
        <v>1_HIGH &lt;5 years</v>
      </c>
      <c r="G39" s="4" t="str">
        <f>_xlfn.XLOOKUP($C39,MATRIX!$C$8:$C$128,MATRIX!G$8:G$128,)</f>
        <v>OTHER *</v>
      </c>
      <c r="H39" s="4" t="str">
        <f>_xlfn.XLOOKUP($C39,MATRIX!$C$8:$C$128,MATRIX!H$8:H$128,)</f>
        <v>ROOF</v>
      </c>
      <c r="I39" s="4" t="str">
        <f>_xlfn.XLOOKUP($C39,MATRIX!$C$8:$C$128,MATRIX!I$8:I$128,)</f>
        <v>LOW</v>
      </c>
      <c r="J39" s="4" t="str">
        <f>_xlfn.XLOOKUP($C39,MATRIX!$C$8:$C$128,MATRIX!J$8:J$128,)</f>
        <v>N/A</v>
      </c>
      <c r="K39" s="4" t="str">
        <f>_xlfn.XLOOKUP($C39,MATRIX!$C$8:$C$128,MATRIX!K$8:K$128,)</f>
        <v>N/A</v>
      </c>
      <c r="L39" s="4" t="str">
        <f>_xlfn.XLOOKUP($C39,MATRIX!$C$8:$C$128,MATRIX!L$8:L$128,)</f>
        <v>$ LOW</v>
      </c>
      <c r="M39" s="4" t="str">
        <f>_xlfn.XLOOKUP($C39,MATRIX!$C$8:$C$128,MATRIX!M$8:M$128,)</f>
        <v>N/A</v>
      </c>
      <c r="N39" s="4" t="str">
        <f>_xlfn.XLOOKUP($C39,MATRIX!$C$8:$C$128,MATRIX!N$8:N$128,)</f>
        <v>N/A</v>
      </c>
      <c r="O39" s="4" t="str">
        <f>_xlfn.XLOOKUP($C39,MATRIX!$C$8:$C$128,MATRIX!O$8:O$128,)</f>
        <v>N/A</v>
      </c>
      <c r="P39" s="4" t="str">
        <f>_xlfn.XLOOKUP($C39,MATRIX!$C$8:$C$128,MATRIX!P$8:P$128,)</f>
        <v>NO</v>
      </c>
      <c r="Q39" s="4" t="str">
        <f>_xlfn.XLOOKUP($C39,MATRIX!$C$8:$C$128,MATRIX!Q$8:Q$128,)</f>
        <v>YES</v>
      </c>
      <c r="R39" s="4" t="str">
        <f>_xlfn.XLOOKUP($C39,MATRIX!$C$8:$C$128,MATRIX!R$8:R$128,)</f>
        <v>NO</v>
      </c>
      <c r="S39" s="4" t="str">
        <f>_xlfn.XLOOKUP($C39,MATRIX!$C$8:$C$128,MATRIX!S$8:S$128,)</f>
        <v>NO</v>
      </c>
      <c r="T39" s="4" t="str">
        <f>_xlfn.XLOOKUP($C39,MATRIX!$C$8:$C$128,MATRIX!T$8:T$128,)</f>
        <v>NO</v>
      </c>
      <c r="U39" s="4"/>
      <c r="V39" s="4">
        <f>_xlfn.XLOOKUP($C39,MATRIX!$C$8:$C$128,MATRIX!V$8:V$128,)</f>
        <v>0</v>
      </c>
      <c r="W39" s="135" t="s">
        <v>440</v>
      </c>
    </row>
    <row r="40" spans="1:23" ht="29" outlineLevel="1" x14ac:dyDescent="0.35">
      <c r="A40" s="52"/>
      <c r="B40" s="4" t="e">
        <f>_xlfn.XLOOKUP($C40,MATRIX!$C$8:$C$128,MATRIX!B$8:B$128,)</f>
        <v>#N/A</v>
      </c>
      <c r="C40" s="145" t="s">
        <v>441</v>
      </c>
      <c r="D40" s="4" t="e">
        <f>_xlfn.XLOOKUP($C40,MATRIX!$C$8:$C$128,MATRIX!D$8:D$128,)</f>
        <v>#N/A</v>
      </c>
      <c r="E40" s="4" t="e">
        <f>_xlfn.XLOOKUP($C40,MATRIX!$C$8:$C$128,MATRIX!E$8:E$128,)</f>
        <v>#N/A</v>
      </c>
      <c r="F40" s="4" t="e">
        <f>_xlfn.XLOOKUP($C40,MATRIX!$C$8:$C$128,MATRIX!F$8:F$128,)</f>
        <v>#N/A</v>
      </c>
      <c r="G40" s="4" t="e">
        <f>_xlfn.XLOOKUP($C40,MATRIX!$C$8:$C$128,MATRIX!G$8:G$128,)</f>
        <v>#N/A</v>
      </c>
      <c r="H40" s="4" t="e">
        <f>_xlfn.XLOOKUP($C40,MATRIX!$C$8:$C$128,MATRIX!H$8:H$128,)</f>
        <v>#N/A</v>
      </c>
      <c r="I40" s="4" t="e">
        <f>_xlfn.XLOOKUP($C40,MATRIX!$C$8:$C$128,MATRIX!I$8:I$128,)</f>
        <v>#N/A</v>
      </c>
      <c r="J40" s="4" t="e">
        <f>_xlfn.XLOOKUP($C40,MATRIX!$C$8:$C$128,MATRIX!J$8:J$128,)</f>
        <v>#N/A</v>
      </c>
      <c r="K40" s="4" t="e">
        <f>_xlfn.XLOOKUP($C40,MATRIX!$C$8:$C$128,MATRIX!K$8:K$128,)</f>
        <v>#N/A</v>
      </c>
      <c r="L40" s="4" t="e">
        <f>_xlfn.XLOOKUP($C40,MATRIX!$C$8:$C$128,MATRIX!L$8:L$128,)</f>
        <v>#N/A</v>
      </c>
      <c r="M40" s="4" t="e">
        <f>_xlfn.XLOOKUP($C40,MATRIX!$C$8:$C$128,MATRIX!M$8:M$128,)</f>
        <v>#N/A</v>
      </c>
      <c r="N40" s="4" t="e">
        <f>_xlfn.XLOOKUP($C40,MATRIX!$C$8:$C$128,MATRIX!N$8:N$128,)</f>
        <v>#N/A</v>
      </c>
      <c r="O40" s="4" t="e">
        <f>_xlfn.XLOOKUP($C40,MATRIX!$C$8:$C$128,MATRIX!O$8:O$128,)</f>
        <v>#N/A</v>
      </c>
      <c r="P40" s="4" t="e">
        <f>_xlfn.XLOOKUP($C40,MATRIX!$C$8:$C$128,MATRIX!P$8:P$128,)</f>
        <v>#N/A</v>
      </c>
      <c r="Q40" s="4" t="e">
        <f>_xlfn.XLOOKUP($C40,MATRIX!$C$8:$C$128,MATRIX!Q$8:Q$128,)</f>
        <v>#N/A</v>
      </c>
      <c r="R40" s="4" t="e">
        <f>_xlfn.XLOOKUP($C40,MATRIX!$C$8:$C$128,MATRIX!R$8:R$128,)</f>
        <v>#N/A</v>
      </c>
      <c r="S40" s="4" t="e">
        <f>_xlfn.XLOOKUP($C40,MATRIX!$C$8:$C$128,MATRIX!S$8:S$128,)</f>
        <v>#N/A</v>
      </c>
      <c r="T40" s="4" t="e">
        <f>_xlfn.XLOOKUP($C40,MATRIX!$C$8:$C$128,MATRIX!T$8:T$128,)</f>
        <v>#N/A</v>
      </c>
      <c r="U40" s="4"/>
      <c r="V40" s="4" t="e">
        <f>_xlfn.XLOOKUP($C40,MATRIX!$C$8:$C$128,MATRIX!V$8:V$128,)</f>
        <v>#N/A</v>
      </c>
      <c r="W40" s="135" t="s">
        <v>442</v>
      </c>
    </row>
    <row r="41" spans="1:23" ht="29" outlineLevel="1" x14ac:dyDescent="0.35">
      <c r="A41" s="52"/>
      <c r="B41" s="4" t="e">
        <f>_xlfn.XLOOKUP($C41,MATRIX!$C$8:$C$128,MATRIX!B$8:B$128,)</f>
        <v>#N/A</v>
      </c>
      <c r="C41" s="145" t="s">
        <v>443</v>
      </c>
      <c r="D41" s="4" t="e">
        <f>_xlfn.XLOOKUP($C41,MATRIX!$C$8:$C$128,MATRIX!D$8:D$128,)</f>
        <v>#N/A</v>
      </c>
      <c r="E41" s="4" t="e">
        <f>_xlfn.XLOOKUP($C41,MATRIX!$C$8:$C$128,MATRIX!E$8:E$128,)</f>
        <v>#N/A</v>
      </c>
      <c r="F41" s="4" t="e">
        <f>_xlfn.XLOOKUP($C41,MATRIX!$C$8:$C$128,MATRIX!F$8:F$128,)</f>
        <v>#N/A</v>
      </c>
      <c r="G41" s="4" t="e">
        <f>_xlfn.XLOOKUP($C41,MATRIX!$C$8:$C$128,MATRIX!G$8:G$128,)</f>
        <v>#N/A</v>
      </c>
      <c r="H41" s="4" t="e">
        <f>_xlfn.XLOOKUP($C41,MATRIX!$C$8:$C$128,MATRIX!H$8:H$128,)</f>
        <v>#N/A</v>
      </c>
      <c r="I41" s="4" t="e">
        <f>_xlfn.XLOOKUP($C41,MATRIX!$C$8:$C$128,MATRIX!I$8:I$128,)</f>
        <v>#N/A</v>
      </c>
      <c r="J41" s="4" t="e">
        <f>_xlfn.XLOOKUP($C41,MATRIX!$C$8:$C$128,MATRIX!J$8:J$128,)</f>
        <v>#N/A</v>
      </c>
      <c r="K41" s="4" t="e">
        <f>_xlfn.XLOOKUP($C41,MATRIX!$C$8:$C$128,MATRIX!K$8:K$128,)</f>
        <v>#N/A</v>
      </c>
      <c r="L41" s="4" t="e">
        <f>_xlfn.XLOOKUP($C41,MATRIX!$C$8:$C$128,MATRIX!L$8:L$128,)</f>
        <v>#N/A</v>
      </c>
      <c r="M41" s="4" t="e">
        <f>_xlfn.XLOOKUP($C41,MATRIX!$C$8:$C$128,MATRIX!M$8:M$128,)</f>
        <v>#N/A</v>
      </c>
      <c r="N41" s="4" t="e">
        <f>_xlfn.XLOOKUP($C41,MATRIX!$C$8:$C$128,MATRIX!N$8:N$128,)</f>
        <v>#N/A</v>
      </c>
      <c r="O41" s="4" t="e">
        <f>_xlfn.XLOOKUP($C41,MATRIX!$C$8:$C$128,MATRIX!O$8:O$128,)</f>
        <v>#N/A</v>
      </c>
      <c r="P41" s="4" t="e">
        <f>_xlfn.XLOOKUP($C41,MATRIX!$C$8:$C$128,MATRIX!P$8:P$128,)</f>
        <v>#N/A</v>
      </c>
      <c r="Q41" s="4" t="e">
        <f>_xlfn.XLOOKUP($C41,MATRIX!$C$8:$C$128,MATRIX!Q$8:Q$128,)</f>
        <v>#N/A</v>
      </c>
      <c r="R41" s="4" t="e">
        <f>_xlfn.XLOOKUP($C41,MATRIX!$C$8:$C$128,MATRIX!R$8:R$128,)</f>
        <v>#N/A</v>
      </c>
      <c r="S41" s="4" t="e">
        <f>_xlfn.XLOOKUP($C41,MATRIX!$C$8:$C$128,MATRIX!S$8:S$128,)</f>
        <v>#N/A</v>
      </c>
      <c r="T41" s="4" t="e">
        <f>_xlfn.XLOOKUP($C41,MATRIX!$C$8:$C$128,MATRIX!T$8:T$128,)</f>
        <v>#N/A</v>
      </c>
      <c r="U41" s="4"/>
      <c r="V41" s="4" t="e">
        <f>_xlfn.XLOOKUP($C41,MATRIX!$C$8:$C$128,MATRIX!V$8:V$128,)</f>
        <v>#N/A</v>
      </c>
      <c r="W41" s="135" t="s">
        <v>444</v>
      </c>
    </row>
    <row r="42" spans="1:23" ht="7.5" customHeight="1" outlineLevel="1" x14ac:dyDescent="0.35">
      <c r="A42" s="52"/>
      <c r="B42" s="4"/>
      <c r="C42" s="145"/>
      <c r="D42" s="4"/>
      <c r="E42" s="4"/>
      <c r="F42" s="4"/>
      <c r="G42" s="4"/>
      <c r="H42" s="4"/>
      <c r="I42" s="4"/>
      <c r="J42" s="4"/>
      <c r="K42" s="4"/>
      <c r="L42" s="4"/>
      <c r="M42" s="4"/>
      <c r="N42" s="4"/>
      <c r="O42" s="4"/>
      <c r="P42" s="4"/>
      <c r="Q42" s="4"/>
      <c r="R42" s="4"/>
      <c r="S42" s="4"/>
      <c r="T42" s="4"/>
      <c r="U42" s="4"/>
      <c r="V42" s="4"/>
      <c r="W42" s="4"/>
    </row>
    <row r="43" spans="1:23" ht="43.5" outlineLevel="1" x14ac:dyDescent="0.35">
      <c r="A43" s="52" t="s">
        <v>445</v>
      </c>
      <c r="B43" s="4" t="str">
        <f>_xlfn.XLOOKUP($C43,MATRIX!$C$8:$C$128,MATRIX!B$8:B$128,)</f>
        <v>ENVELOPE</v>
      </c>
      <c r="C43" s="145" t="s">
        <v>204</v>
      </c>
      <c r="D43" s="4" t="str">
        <f>_xlfn.XLOOKUP($C43,MATRIX!$C$8:$C$128,MATRIX!D$8:D$128,)</f>
        <v>Airseal &amp; Add insulation at Dome and adjacent Bulfinch sloped roofs. Assume at ceiling level</v>
      </c>
      <c r="E43" s="4" t="str">
        <f>_xlfn.XLOOKUP($C43,MATRIX!$C$8:$C$128,MATRIX!E$8:E$128,)</f>
        <v>UPGRADES / IMPROVEMENTS</v>
      </c>
      <c r="F43" s="4" t="str">
        <f>_xlfn.XLOOKUP($C43,MATRIX!$C$8:$C$128,MATRIX!F$8:F$128,)</f>
        <v>3_LOW 10-20 years</v>
      </c>
      <c r="G43" s="4" t="str">
        <f>_xlfn.XLOOKUP($C43,MATRIX!$C$8:$C$128,MATRIX!G$8:G$128,)</f>
        <v>BULFINCH</v>
      </c>
      <c r="H43" s="4" t="str">
        <f>_xlfn.XLOOKUP($C43,MATRIX!$C$8:$C$128,MATRIX!H$8:H$128,)</f>
        <v>ROOF</v>
      </c>
      <c r="I43" s="4">
        <f>_xlfn.XLOOKUP($C43,MATRIX!$C$8:$C$128,MATRIX!I$8:I$128,)</f>
        <v>0</v>
      </c>
      <c r="J43" s="4">
        <f>_xlfn.XLOOKUP($C43,MATRIX!$C$8:$C$128,MATRIX!J$8:J$128,)</f>
        <v>0</v>
      </c>
      <c r="K43" s="4">
        <f>_xlfn.XLOOKUP($C43,MATRIX!$C$8:$C$128,MATRIX!K$8:K$128,)</f>
        <v>0</v>
      </c>
      <c r="L43" s="4">
        <f>_xlfn.XLOOKUP($C43,MATRIX!$C$8:$C$128,MATRIX!L$8:L$128,)</f>
        <v>0</v>
      </c>
      <c r="M43" s="4">
        <f>_xlfn.XLOOKUP($C43,MATRIX!$C$8:$C$128,MATRIX!M$8:M$128,)</f>
        <v>0</v>
      </c>
      <c r="N43" s="4">
        <f>_xlfn.XLOOKUP($C43,MATRIX!$C$8:$C$128,MATRIX!N$8:N$128,)</f>
        <v>0</v>
      </c>
      <c r="O43" s="4">
        <f>_xlfn.XLOOKUP($C43,MATRIX!$C$8:$C$128,MATRIX!O$8:O$128,)</f>
        <v>0</v>
      </c>
      <c r="P43" s="4">
        <f>_xlfn.XLOOKUP($C43,MATRIX!$C$8:$C$128,MATRIX!P$8:P$128,)</f>
        <v>0</v>
      </c>
      <c r="Q43" s="4">
        <f>_xlfn.XLOOKUP($C43,MATRIX!$C$8:$C$128,MATRIX!Q$8:Q$128,)</f>
        <v>0</v>
      </c>
      <c r="R43" s="4">
        <f>_xlfn.XLOOKUP($C43,MATRIX!$C$8:$C$128,MATRIX!R$8:R$128,)</f>
        <v>0</v>
      </c>
      <c r="S43" s="4">
        <f>_xlfn.XLOOKUP($C43,MATRIX!$C$8:$C$128,MATRIX!S$8:S$128,)</f>
        <v>0</v>
      </c>
      <c r="T43" s="4">
        <f>_xlfn.XLOOKUP($C43,MATRIX!$C$8:$C$128,MATRIX!T$8:T$128,)</f>
        <v>0</v>
      </c>
      <c r="U43" s="4"/>
      <c r="V43" s="4">
        <f>_xlfn.XLOOKUP($C43,MATRIX!$C$8:$C$128,MATRIX!V$8:V$128,)</f>
        <v>0</v>
      </c>
      <c r="W43" s="135" t="s">
        <v>446</v>
      </c>
    </row>
    <row r="44" spans="1:23" ht="29" outlineLevel="1" x14ac:dyDescent="0.35">
      <c r="A44" s="52"/>
      <c r="B44" s="4" t="str">
        <f>_xlfn.XLOOKUP($C44,MATRIX!$C$8:$C$128,MATRIX!B$8:B$128,)</f>
        <v>ENVELOPE</v>
      </c>
      <c r="C44" s="145" t="s">
        <v>213</v>
      </c>
      <c r="D44" s="4" t="str">
        <f>_xlfn.XLOOKUP($C44,MATRIX!$C$8:$C$128,MATRIX!D$8:D$128,)</f>
        <v xml:space="preserve">Wing Slate Roofs: Replace cracked and missing slate. </v>
      </c>
      <c r="E44" s="4" t="str">
        <f>_xlfn.XLOOKUP($C44,MATRIX!$C$8:$C$128,MATRIX!E$8:E$128,)</f>
        <v>DEFERRED MAINTENANCE</v>
      </c>
      <c r="F44" s="4" t="str">
        <f>_xlfn.XLOOKUP($C44,MATRIX!$C$8:$C$128,MATRIX!F$8:F$128,)</f>
        <v>1_HIGH &lt;5 years</v>
      </c>
      <c r="G44" s="4" t="str">
        <f>_xlfn.XLOOKUP($C44,MATRIX!$C$8:$C$128,MATRIX!G$8:G$128,)</f>
        <v>OTHER *</v>
      </c>
      <c r="H44" s="4" t="str">
        <f>_xlfn.XLOOKUP($C44,MATRIX!$C$8:$C$128,MATRIX!H$8:H$128,)</f>
        <v>ROOF</v>
      </c>
      <c r="I44" s="4" t="str">
        <f>_xlfn.XLOOKUP($C44,MATRIX!$C$8:$C$128,MATRIX!I$8:I$128,)</f>
        <v>LOW</v>
      </c>
      <c r="J44" s="4" t="str">
        <f>_xlfn.XLOOKUP($C44,MATRIX!$C$8:$C$128,MATRIX!J$8:J$128,)</f>
        <v>N/A</v>
      </c>
      <c r="K44" s="4" t="str">
        <f>_xlfn.XLOOKUP($C44,MATRIX!$C$8:$C$128,MATRIX!K$8:K$128,)</f>
        <v>N/A</v>
      </c>
      <c r="L44" s="4" t="str">
        <f>_xlfn.XLOOKUP($C44,MATRIX!$C$8:$C$128,MATRIX!L$8:L$128,)</f>
        <v>$ LOW</v>
      </c>
      <c r="M44" s="4" t="str">
        <f>_xlfn.XLOOKUP($C44,MATRIX!$C$8:$C$128,MATRIX!M$8:M$128,)</f>
        <v>N/A</v>
      </c>
      <c r="N44" s="4" t="str">
        <f>_xlfn.XLOOKUP($C44,MATRIX!$C$8:$C$128,MATRIX!N$8:N$128,)</f>
        <v>N/A</v>
      </c>
      <c r="O44" s="4" t="str">
        <f>_xlfn.XLOOKUP($C44,MATRIX!$C$8:$C$128,MATRIX!O$8:O$128,)</f>
        <v>N/A</v>
      </c>
      <c r="P44" s="4" t="str">
        <f>_xlfn.XLOOKUP($C44,MATRIX!$C$8:$C$128,MATRIX!P$8:P$128,)</f>
        <v>NO</v>
      </c>
      <c r="Q44" s="4" t="str">
        <f>_xlfn.XLOOKUP($C44,MATRIX!$C$8:$C$128,MATRIX!Q$8:Q$128,)</f>
        <v>YES</v>
      </c>
      <c r="R44" s="4" t="str">
        <f>_xlfn.XLOOKUP($C44,MATRIX!$C$8:$C$128,MATRIX!R$8:R$128,)</f>
        <v>NO</v>
      </c>
      <c r="S44" s="4" t="str">
        <f>_xlfn.XLOOKUP($C44,MATRIX!$C$8:$C$128,MATRIX!S$8:S$128,)</f>
        <v>NO</v>
      </c>
      <c r="T44" s="4" t="str">
        <f>_xlfn.XLOOKUP($C44,MATRIX!$C$8:$C$128,MATRIX!T$8:T$128,)</f>
        <v>NO</v>
      </c>
      <c r="U44" s="4"/>
      <c r="V44" s="4">
        <f>_xlfn.XLOOKUP($C44,MATRIX!$C$8:$C$128,MATRIX!V$8:V$128,)</f>
        <v>0</v>
      </c>
      <c r="W44" s="135" t="s">
        <v>447</v>
      </c>
    </row>
    <row r="45" spans="1:23" x14ac:dyDescent="0.35">
      <c r="A45" s="40"/>
      <c r="B45" s="40"/>
      <c r="C45" s="145"/>
      <c r="D45" s="4"/>
      <c r="E45" s="40"/>
      <c r="F45" s="40"/>
      <c r="G45" s="40"/>
      <c r="H45" s="40"/>
      <c r="I45" s="40"/>
      <c r="J45" s="40"/>
      <c r="K45" s="40"/>
      <c r="L45" s="40"/>
      <c r="M45" s="40"/>
      <c r="N45" s="40"/>
      <c r="O45" s="40"/>
      <c r="P45" s="40"/>
      <c r="Q45" s="40"/>
      <c r="R45" s="40"/>
      <c r="S45" s="40"/>
      <c r="T45" s="40"/>
      <c r="U45" s="40"/>
      <c r="V45" s="40"/>
      <c r="W45" s="4"/>
    </row>
    <row r="46" spans="1:23" x14ac:dyDescent="0.35">
      <c r="A46" s="141" t="s">
        <v>448</v>
      </c>
      <c r="B46" s="141" t="s">
        <v>449</v>
      </c>
      <c r="C46" s="142"/>
      <c r="D46" s="143"/>
      <c r="E46" s="144"/>
      <c r="F46" s="144"/>
      <c r="G46" s="144"/>
      <c r="H46" s="144"/>
      <c r="I46" s="144"/>
      <c r="J46" s="144"/>
      <c r="K46" s="144"/>
      <c r="L46" s="144"/>
      <c r="M46" s="144"/>
      <c r="N46" s="144"/>
      <c r="O46" s="144"/>
      <c r="P46" s="144"/>
      <c r="Q46" s="144"/>
      <c r="R46" s="144"/>
      <c r="S46" s="144"/>
      <c r="T46" s="144"/>
      <c r="U46" s="144"/>
      <c r="V46" s="144"/>
      <c r="W46" s="143"/>
    </row>
    <row r="47" spans="1:23" ht="29" outlineLevel="1" x14ac:dyDescent="0.35">
      <c r="A47" s="10" t="s">
        <v>450</v>
      </c>
      <c r="B47" s="4" t="e">
        <f>_xlfn.XLOOKUP($C$47,MATRIX!$C$8:$C$128,MATRIX!B8:B128,)</f>
        <v>#N/A</v>
      </c>
      <c r="C47" s="145" t="s">
        <v>451</v>
      </c>
      <c r="D47" s="4" t="e">
        <f>_xlfn.XLOOKUP($C47,MATRIX!$C$8:$C$128,MATRIX!D8:D128,)</f>
        <v>#N/A</v>
      </c>
      <c r="E47" s="4" t="e">
        <f>_xlfn.XLOOKUP($C$47,MATRIX!$C$8:$C$128,MATRIX!E8:E128,)</f>
        <v>#N/A</v>
      </c>
      <c r="F47" s="4" t="e">
        <f>_xlfn.XLOOKUP($C$47,MATRIX!$C$8:$C$128,MATRIX!F8:F128,)</f>
        <v>#N/A</v>
      </c>
      <c r="G47" s="4" t="e">
        <f>_xlfn.XLOOKUP($C$47,MATRIX!$C$8:$C$128,MATRIX!G8:G128,)</f>
        <v>#N/A</v>
      </c>
      <c r="H47" s="4" t="e">
        <f>_xlfn.XLOOKUP($C$47,MATRIX!$C$8:$C$128,MATRIX!H8:H128,)</f>
        <v>#N/A</v>
      </c>
      <c r="I47" s="4" t="e">
        <f>_xlfn.XLOOKUP($C$47,MATRIX!$C$8:$C$128,MATRIX!I8:I128,)</f>
        <v>#N/A</v>
      </c>
      <c r="J47" s="4" t="e">
        <f>_xlfn.XLOOKUP($C$47,MATRIX!$C$8:$C$128,MATRIX!J8:J128,)</f>
        <v>#N/A</v>
      </c>
      <c r="K47" s="4" t="e">
        <f>_xlfn.XLOOKUP($C$47,MATRIX!$C$8:$C$128,MATRIX!K8:K128,)</f>
        <v>#N/A</v>
      </c>
      <c r="L47" s="4" t="e">
        <f>_xlfn.XLOOKUP($C$47,MATRIX!$C$8:$C$128,MATRIX!L8:L128,)</f>
        <v>#N/A</v>
      </c>
      <c r="M47" s="4" t="e">
        <f>_xlfn.XLOOKUP($C$47,MATRIX!$C$8:$C$128,MATRIX!M8:M128,)</f>
        <v>#N/A</v>
      </c>
      <c r="N47" s="4" t="e">
        <f>_xlfn.XLOOKUP($C$47,MATRIX!$C$8:$C$128,MATRIX!N8:N128,)</f>
        <v>#N/A</v>
      </c>
      <c r="O47" s="4" t="e">
        <f>_xlfn.XLOOKUP($C$47,MATRIX!$C$8:$C$128,MATRIX!O8:O128,)</f>
        <v>#N/A</v>
      </c>
      <c r="P47" s="4" t="e">
        <f>_xlfn.XLOOKUP($C$47,MATRIX!$C$8:$C$128,MATRIX!P8:P128,)</f>
        <v>#N/A</v>
      </c>
      <c r="Q47" s="4" t="e">
        <f>_xlfn.XLOOKUP($C$47,MATRIX!$C$8:$C$128,MATRIX!Q8:Q128,)</f>
        <v>#N/A</v>
      </c>
      <c r="R47" s="4" t="e">
        <f>_xlfn.XLOOKUP($C$47,MATRIX!$C$8:$C$128,MATRIX!R8:R128,)</f>
        <v>#N/A</v>
      </c>
      <c r="S47" s="4" t="e">
        <f>_xlfn.XLOOKUP($C$47,MATRIX!$C$8:$C$128,MATRIX!S8:S128,)</f>
        <v>#N/A</v>
      </c>
      <c r="T47" s="4" t="e">
        <f>_xlfn.XLOOKUP($C$47,MATRIX!$C$8:$C$128,MATRIX!T8:T128,)</f>
        <v>#N/A</v>
      </c>
      <c r="U47" s="4"/>
      <c r="V47" s="4" t="e">
        <f>_xlfn.XLOOKUP($C$47,MATRIX!$C$8:$C$128,MATRIX!V8:V128,)</f>
        <v>#N/A</v>
      </c>
      <c r="W47" s="135" t="s">
        <v>452</v>
      </c>
    </row>
    <row r="48" spans="1:23" ht="29" outlineLevel="1" x14ac:dyDescent="0.35">
      <c r="A48" s="40"/>
      <c r="B48" s="4" t="e">
        <f>_xlfn.XLOOKUP($C48,MATRIX!$C$8:$C$128,MATRIX!B$8:B$128,)</f>
        <v>#N/A</v>
      </c>
      <c r="C48" s="145" t="s">
        <v>453</v>
      </c>
      <c r="D48" s="4" t="e">
        <f>_xlfn.XLOOKUP($C$48,MATRIX!$C$8:$C$128,MATRIX!D$8:D$128,)</f>
        <v>#N/A</v>
      </c>
      <c r="E48" s="4" t="e">
        <f>_xlfn.XLOOKUP($C$48,MATRIX!$C$8:$C$128,MATRIX!E$8:E$128,)</f>
        <v>#N/A</v>
      </c>
      <c r="F48" s="4" t="e">
        <f>_xlfn.XLOOKUP($C$48,MATRIX!$C$8:$C$128,MATRIX!F$8:F$128,)</f>
        <v>#N/A</v>
      </c>
      <c r="G48" s="4" t="e">
        <f>_xlfn.XLOOKUP($C$48,MATRIX!$C$8:$C$128,MATRIX!G$8:G$128,)</f>
        <v>#N/A</v>
      </c>
      <c r="H48" s="4" t="e">
        <f>_xlfn.XLOOKUP($C$48,MATRIX!$C$8:$C$128,MATRIX!H$8:H$128,)</f>
        <v>#N/A</v>
      </c>
      <c r="I48" s="4" t="e">
        <f>_xlfn.XLOOKUP($C$48,MATRIX!$C$8:$C$128,MATRIX!I$8:I$128,)</f>
        <v>#N/A</v>
      </c>
      <c r="J48" s="4" t="e">
        <f>_xlfn.XLOOKUP($C$48,MATRIX!$C$8:$C$128,MATRIX!J$8:J$128,)</f>
        <v>#N/A</v>
      </c>
      <c r="K48" s="4" t="e">
        <f>_xlfn.XLOOKUP($C$48,MATRIX!$C$8:$C$128,MATRIX!K$8:K$128,)</f>
        <v>#N/A</v>
      </c>
      <c r="L48" s="4" t="e">
        <f>_xlfn.XLOOKUP($C$48,MATRIX!$C$8:$C$128,MATRIX!L$8:L$128,)</f>
        <v>#N/A</v>
      </c>
      <c r="M48" s="4" t="e">
        <f>_xlfn.XLOOKUP($C$48,MATRIX!$C$8:$C$128,MATRIX!M$8:M$128,)</f>
        <v>#N/A</v>
      </c>
      <c r="N48" s="4" t="e">
        <f>_xlfn.XLOOKUP($C$48,MATRIX!$C$8:$C$128,MATRIX!N$8:N$128,)</f>
        <v>#N/A</v>
      </c>
      <c r="O48" s="4" t="e">
        <f>_xlfn.XLOOKUP($C$48,MATRIX!$C$8:$C$128,MATRIX!O$8:O$128,)</f>
        <v>#N/A</v>
      </c>
      <c r="P48" s="4" t="e">
        <f>_xlfn.XLOOKUP($C$48,MATRIX!$C$8:$C$128,MATRIX!P$8:P$128,)</f>
        <v>#N/A</v>
      </c>
      <c r="Q48" s="4" t="e">
        <f>_xlfn.XLOOKUP($C$48,MATRIX!$C$8:$C$128,MATRIX!Q$8:Q$128,)</f>
        <v>#N/A</v>
      </c>
      <c r="R48" s="4" t="e">
        <f>_xlfn.XLOOKUP($C$48,MATRIX!$C$8:$C$128,MATRIX!R$8:R$128,)</f>
        <v>#N/A</v>
      </c>
      <c r="S48" s="4" t="e">
        <f>_xlfn.XLOOKUP($C$48,MATRIX!$C$8:$C$128,MATRIX!S$8:S$128,)</f>
        <v>#N/A</v>
      </c>
      <c r="T48" s="4" t="e">
        <f>_xlfn.XLOOKUP($C$48,MATRIX!$C$8:$C$128,MATRIX!T$8:T$128,)</f>
        <v>#N/A</v>
      </c>
      <c r="U48" s="4"/>
      <c r="V48" s="4" t="e">
        <f>_xlfn.XLOOKUP($C$48,MATRIX!$C$8:$C$128,MATRIX!V$8:V$128,)</f>
        <v>#N/A</v>
      </c>
      <c r="W48" s="135" t="s">
        <v>454</v>
      </c>
    </row>
    <row r="49" spans="1:23" ht="29" outlineLevel="1" x14ac:dyDescent="0.35">
      <c r="A49" s="40"/>
      <c r="B49" s="4" t="str">
        <f>_xlfn.XLOOKUP($C49,MATRIX!$C$8:$C$128,MATRIX!B$8:B$128,)</f>
        <v>ENVELOPE</v>
      </c>
      <c r="C49" s="145" t="s">
        <v>209</v>
      </c>
      <c r="D49" s="4" t="str">
        <f>_xlfn.XLOOKUP($C49,MATRIX!$C$8:$C$128,MATRIX!D$8:D$128,)</f>
        <v>Aluminum Windows: replace perimeter sealants</v>
      </c>
      <c r="E49" s="4" t="str">
        <f>_xlfn.XLOOKUP($C49,MATRIX!$C$8:$C$128,MATRIX!E$8:E$128,)</f>
        <v>DEFERRED MAINTENANCE</v>
      </c>
      <c r="F49" s="4" t="str">
        <f>_xlfn.XLOOKUP($C49,MATRIX!$C$8:$C$128,MATRIX!F$8:F$128,)</f>
        <v>2_MID 5-10 years</v>
      </c>
      <c r="G49" s="4" t="str">
        <f>_xlfn.XLOOKUP($C49,MATRIX!$C$8:$C$128,MATRIX!G$8:G$128,)</f>
        <v>OTHER *</v>
      </c>
      <c r="H49" s="4" t="str">
        <f>_xlfn.XLOOKUP($C49,MATRIX!$C$8:$C$128,MATRIX!H$8:H$128,)</f>
        <v>ROOF</v>
      </c>
      <c r="I49" s="4" t="str">
        <f>_xlfn.XLOOKUP($C49,MATRIX!$C$8:$C$128,MATRIX!I$8:I$128,)</f>
        <v>LOW</v>
      </c>
      <c r="J49" s="4" t="str">
        <f>_xlfn.XLOOKUP($C49,MATRIX!$C$8:$C$128,MATRIX!J$8:J$128,)</f>
        <v>N/A</v>
      </c>
      <c r="K49" s="4" t="str">
        <f>_xlfn.XLOOKUP($C49,MATRIX!$C$8:$C$128,MATRIX!K$8:K$128,)</f>
        <v>N/A</v>
      </c>
      <c r="L49" s="4" t="str">
        <f>_xlfn.XLOOKUP($C49,MATRIX!$C$8:$C$128,MATRIX!L$8:L$128,)</f>
        <v>$ LOW</v>
      </c>
      <c r="M49" s="4" t="str">
        <f>_xlfn.XLOOKUP($C49,MATRIX!$C$8:$C$128,MATRIX!M$8:M$128,)</f>
        <v>N/A</v>
      </c>
      <c r="N49" s="4" t="str">
        <f>_xlfn.XLOOKUP($C49,MATRIX!$C$8:$C$128,MATRIX!N$8:N$128,)</f>
        <v>N/A</v>
      </c>
      <c r="O49" s="4" t="str">
        <f>_xlfn.XLOOKUP($C49,MATRIX!$C$8:$C$128,MATRIX!O$8:O$128,)</f>
        <v>N/A</v>
      </c>
      <c r="P49" s="4" t="str">
        <f>_xlfn.XLOOKUP($C49,MATRIX!$C$8:$C$128,MATRIX!P$8:P$128,)</f>
        <v>NO</v>
      </c>
      <c r="Q49" s="4" t="str">
        <f>_xlfn.XLOOKUP($C49,MATRIX!$C$8:$C$128,MATRIX!Q$8:Q$128,)</f>
        <v>YES</v>
      </c>
      <c r="R49" s="4" t="str">
        <f>_xlfn.XLOOKUP($C49,MATRIX!$C$8:$C$128,MATRIX!R$8:R$128,)</f>
        <v>NO</v>
      </c>
      <c r="S49" s="4" t="str">
        <f>_xlfn.XLOOKUP($C49,MATRIX!$C$8:$C$128,MATRIX!S$8:S$128,)</f>
        <v>NO</v>
      </c>
      <c r="T49" s="4" t="str">
        <f>_xlfn.XLOOKUP($C49,MATRIX!$C$8:$C$128,MATRIX!T$8:T$128,)</f>
        <v>NO</v>
      </c>
      <c r="U49" s="4"/>
      <c r="V49" s="4">
        <f>_xlfn.XLOOKUP($C49,MATRIX!$C$8:$C$128,MATRIX!V$8:V$128,)</f>
        <v>0</v>
      </c>
      <c r="W49" s="135" t="s">
        <v>455</v>
      </c>
    </row>
    <row r="50" spans="1:23" ht="29" outlineLevel="1" x14ac:dyDescent="0.35">
      <c r="A50" s="40"/>
      <c r="B50" s="4" t="str">
        <f>_xlfn.XLOOKUP($C50,MATRIX!$C$8:$C$128,MATRIX!B$8:B$128,)</f>
        <v>ENVELOPE</v>
      </c>
      <c r="C50" s="145" t="s">
        <v>211</v>
      </c>
      <c r="D50" s="4" t="str">
        <f>_xlfn.XLOOKUP($C50,MATRIX!$C$8:$C$128,MATRIX!D$8:D$128,)</f>
        <v xml:space="preserve">Wing L5 Cladding: Resecure several loose copper wall panels. </v>
      </c>
      <c r="E50" s="4" t="str">
        <f>_xlfn.XLOOKUP($C50,MATRIX!$C$8:$C$128,MATRIX!E$8:E$128,)</f>
        <v>DEFERRED MAINTENANCE</v>
      </c>
      <c r="F50" s="4" t="str">
        <f>_xlfn.XLOOKUP($C50,MATRIX!$C$8:$C$128,MATRIX!F$8:F$128,)</f>
        <v>1_HIGH &lt;5 years</v>
      </c>
      <c r="G50" s="4" t="str">
        <f>_xlfn.XLOOKUP($C50,MATRIX!$C$8:$C$128,MATRIX!G$8:G$128,)</f>
        <v>OTHER *</v>
      </c>
      <c r="H50" s="4" t="str">
        <f>_xlfn.XLOOKUP($C50,MATRIX!$C$8:$C$128,MATRIX!H$8:H$128,)</f>
        <v>ROOF</v>
      </c>
      <c r="I50" s="4" t="str">
        <f>_xlfn.XLOOKUP($C50,MATRIX!$C$8:$C$128,MATRIX!I$8:I$128,)</f>
        <v>LOW</v>
      </c>
      <c r="J50" s="4" t="str">
        <f>_xlfn.XLOOKUP($C50,MATRIX!$C$8:$C$128,MATRIX!J$8:J$128,)</f>
        <v>N/A</v>
      </c>
      <c r="K50" s="4" t="str">
        <f>_xlfn.XLOOKUP($C50,MATRIX!$C$8:$C$128,MATRIX!K$8:K$128,)</f>
        <v>N/A</v>
      </c>
      <c r="L50" s="4" t="str">
        <f>_xlfn.XLOOKUP($C50,MATRIX!$C$8:$C$128,MATRIX!L$8:L$128,)</f>
        <v>$ LOW</v>
      </c>
      <c r="M50" s="4" t="str">
        <f>_xlfn.XLOOKUP($C50,MATRIX!$C$8:$C$128,MATRIX!M$8:M$128,)</f>
        <v>N/A</v>
      </c>
      <c r="N50" s="4" t="str">
        <f>_xlfn.XLOOKUP($C50,MATRIX!$C$8:$C$128,MATRIX!N$8:N$128,)</f>
        <v>N/A</v>
      </c>
      <c r="O50" s="4" t="str">
        <f>_xlfn.XLOOKUP($C50,MATRIX!$C$8:$C$128,MATRIX!O$8:O$128,)</f>
        <v>N/A</v>
      </c>
      <c r="P50" s="4" t="str">
        <f>_xlfn.XLOOKUP($C50,MATRIX!$C$8:$C$128,MATRIX!P$8:P$128,)</f>
        <v>NO</v>
      </c>
      <c r="Q50" s="4" t="str">
        <f>_xlfn.XLOOKUP($C50,MATRIX!$C$8:$C$128,MATRIX!Q$8:Q$128,)</f>
        <v>YES</v>
      </c>
      <c r="R50" s="4" t="str">
        <f>_xlfn.XLOOKUP($C50,MATRIX!$C$8:$C$128,MATRIX!R$8:R$128,)</f>
        <v>NO</v>
      </c>
      <c r="S50" s="4" t="str">
        <f>_xlfn.XLOOKUP($C50,MATRIX!$C$8:$C$128,MATRIX!S$8:S$128,)</f>
        <v>NO</v>
      </c>
      <c r="T50" s="4" t="str">
        <f>_xlfn.XLOOKUP($C50,MATRIX!$C$8:$C$128,MATRIX!T$8:T$128,)</f>
        <v>NO</v>
      </c>
      <c r="U50" s="4"/>
      <c r="V50" s="4">
        <f>_xlfn.XLOOKUP($C50,MATRIX!$C$8:$C$128,MATRIX!V$8:V$128,)</f>
        <v>0</v>
      </c>
      <c r="W50" s="135" t="s">
        <v>456</v>
      </c>
    </row>
    <row r="51" spans="1:23" ht="72.5" outlineLevel="1" x14ac:dyDescent="0.35">
      <c r="A51" s="40"/>
      <c r="B51" s="4" t="str">
        <f>_xlfn.XLOOKUP($C51,MATRIX!$C$8:$C$128,MATRIX!B$8:B$128,)</f>
        <v>ENVELOPE</v>
      </c>
      <c r="C51" s="145" t="s">
        <v>243</v>
      </c>
      <c r="D51" s="4" t="str">
        <f>_xlfn.XLOOKUP($C51,MATRIX!$C$8:$C$128,MATRIX!D$8:D$128,)</f>
        <v xml:space="preserve">Wall Insulation: Assess options to provide insulation where none exists; consider with scheduled replacement of roofs or interior finishes. </v>
      </c>
      <c r="E51" s="4" t="str">
        <f>_xlfn.XLOOKUP($C51,MATRIX!$C$8:$C$128,MATRIX!E$8:E$128,)</f>
        <v>UPGRADES / IMPROVEMENTS</v>
      </c>
      <c r="F51" s="4" t="str">
        <f>_xlfn.XLOOKUP($C51,MATRIX!$C$8:$C$128,MATRIX!F$8:F$128,)</f>
        <v>1_HIGH &lt;5 years</v>
      </c>
      <c r="G51" s="4" t="str">
        <f>_xlfn.XLOOKUP($C51,MATRIX!$C$8:$C$128,MATRIX!G$8:G$128,)</f>
        <v>WHOLE BUILDING</v>
      </c>
      <c r="H51" s="4" t="str">
        <f>_xlfn.XLOOKUP($C51,MATRIX!$C$8:$C$128,MATRIX!H$8:H$128,)</f>
        <v>ENVELOPE (EXT. WALLS)</v>
      </c>
      <c r="I51" s="4" t="str">
        <f>_xlfn.XLOOKUP($C51,MATRIX!$C$8:$C$128,MATRIX!I$8:I$128,)</f>
        <v>MODERATE</v>
      </c>
      <c r="J51" s="4" t="str">
        <f>_xlfn.XLOOKUP($C51,MATRIX!$C$8:$C$128,MATRIX!J$8:J$128,)</f>
        <v>MODERATE</v>
      </c>
      <c r="K51" s="4" t="str">
        <f>_xlfn.XLOOKUP($C51,MATRIX!$C$8:$C$128,MATRIX!K$8:K$128,)</f>
        <v>LOW</v>
      </c>
      <c r="L51" s="4" t="str">
        <f>_xlfn.XLOOKUP($C51,MATRIX!$C$8:$C$128,MATRIX!L$8:L$128,)</f>
        <v>$$$ HIGH</v>
      </c>
      <c r="M51" s="4" t="str">
        <f>_xlfn.XLOOKUP($C51,MATRIX!$C$8:$C$128,MATRIX!M$8:M$128,)</f>
        <v>MINIMAL IMPACT</v>
      </c>
      <c r="N51" s="4" t="str">
        <f>_xlfn.XLOOKUP($C51,MATRIX!$C$8:$C$128,MATRIX!N$8:N$128,)</f>
        <v>MINIMAL IMPACT</v>
      </c>
      <c r="O51" s="4" t="str">
        <f>_xlfn.XLOOKUP($C51,MATRIX!$C$8:$C$128,MATRIX!O$8:O$128,)</f>
        <v>N/A</v>
      </c>
      <c r="P51" s="4" t="str">
        <f>_xlfn.XLOOKUP($C51,MATRIX!$C$8:$C$128,MATRIX!P$8:P$128,)</f>
        <v>YES</v>
      </c>
      <c r="Q51" s="4" t="str">
        <f>_xlfn.XLOOKUP($C51,MATRIX!$C$8:$C$128,MATRIX!Q$8:Q$128,)</f>
        <v>NO</v>
      </c>
      <c r="R51" s="4" t="str">
        <f>_xlfn.XLOOKUP($C51,MATRIX!$C$8:$C$128,MATRIX!R$8:R$128,)</f>
        <v>NO</v>
      </c>
      <c r="S51" s="4" t="str">
        <f>_xlfn.XLOOKUP($C51,MATRIX!$C$8:$C$128,MATRIX!S$8:S$128,)</f>
        <v>NO</v>
      </c>
      <c r="T51" s="4" t="str">
        <f>_xlfn.XLOOKUP($C51,MATRIX!$C$8:$C$128,MATRIX!T$8:T$128,)</f>
        <v>YES</v>
      </c>
      <c r="U51" s="4"/>
      <c r="V51" s="4" t="str">
        <f>_xlfn.XLOOKUP($C51,MATRIX!$C$8:$C$128,MATRIX!V$8:V$128,)</f>
        <v>Insulation will only have impact on energy usage if impacts operation of HVAC equipment. SGH energy modeling on similar buildings show a energy usage change in the 5% range.</v>
      </c>
      <c r="W51" s="135" t="s">
        <v>457</v>
      </c>
    </row>
    <row r="52" spans="1:23" ht="58" outlineLevel="1" x14ac:dyDescent="0.35">
      <c r="A52" s="40"/>
      <c r="B52" s="4" t="str">
        <f>_xlfn.XLOOKUP($C52,MATRIX!$C$8:$C$128,MATRIX!B$8:B$128,)</f>
        <v>HISTORIC PRESERVATION</v>
      </c>
      <c r="C52" s="145" t="s">
        <v>297</v>
      </c>
      <c r="D52" s="4" t="str">
        <f>_xlfn.XLOOKUP($C52,MATRIX!$C$8:$C$128,MATRIX!D$8:D$128,)</f>
        <v>Exterior Masonry. Maintenance restoration campaign to include selective clean, repoint and repairs.</v>
      </c>
      <c r="E52" s="4" t="str">
        <f>_xlfn.XLOOKUP($C52,MATRIX!$C$8:$C$128,MATRIX!E$8:E$128,)</f>
        <v>DEFERRED MAINTENANCE</v>
      </c>
      <c r="F52" s="4" t="str">
        <f>_xlfn.XLOOKUP($C52,MATRIX!$C$8:$C$128,MATRIX!F$8:F$128,)</f>
        <v>1_HIGH &lt;5 years</v>
      </c>
      <c r="G52" s="4" t="str">
        <f>_xlfn.XLOOKUP($C52,MATRIX!$C$8:$C$128,MATRIX!G$8:G$128,)</f>
        <v>WHOLE BUILDING</v>
      </c>
      <c r="H52" s="4" t="str">
        <f>_xlfn.XLOOKUP($C52,MATRIX!$C$8:$C$128,MATRIX!H$8:H$128,)</f>
        <v>ENVELOPE (EXT. WALLS)</v>
      </c>
      <c r="I52" s="4" t="str">
        <f>_xlfn.XLOOKUP($C52,MATRIX!$C$8:$C$128,MATRIX!I$8:I$128,)</f>
        <v>MODERATE</v>
      </c>
      <c r="J52" s="4" t="str">
        <f>_xlfn.XLOOKUP($C52,MATRIX!$C$8:$C$128,MATRIX!J$8:J$128,)</f>
        <v>N/A</v>
      </c>
      <c r="K52" s="4" t="str">
        <f>_xlfn.XLOOKUP($C52,MATRIX!$C$8:$C$128,MATRIX!K$8:K$128,)</f>
        <v>LOW</v>
      </c>
      <c r="L52" s="4" t="str">
        <f>_xlfn.XLOOKUP($C52,MATRIX!$C$8:$C$128,MATRIX!L$8:L$128,)</f>
        <v>$$ MODERATE</v>
      </c>
      <c r="M52" s="4" t="str">
        <f>_xlfn.XLOOKUP($C52,MATRIX!$C$8:$C$128,MATRIX!M$8:M$128,)</f>
        <v>INCREASE</v>
      </c>
      <c r="N52" s="4" t="str">
        <f>_xlfn.XLOOKUP($C52,MATRIX!$C$8:$C$128,MATRIX!N$8:N$128,)</f>
        <v>N/A</v>
      </c>
      <c r="O52" s="4" t="str">
        <f>_xlfn.XLOOKUP($C52,MATRIX!$C$8:$C$128,MATRIX!O$8:O$128,)</f>
        <v>N/A</v>
      </c>
      <c r="P52" s="4" t="str">
        <f>_xlfn.XLOOKUP($C52,MATRIX!$C$8:$C$128,MATRIX!P$8:P$128,)</f>
        <v>NO</v>
      </c>
      <c r="Q52" s="4" t="str">
        <f>_xlfn.XLOOKUP($C52,MATRIX!$C$8:$C$128,MATRIX!Q$8:Q$128,)</f>
        <v>YES</v>
      </c>
      <c r="R52" s="4" t="str">
        <f>_xlfn.XLOOKUP($C52,MATRIX!$C$8:$C$128,MATRIX!R$8:R$128,)</f>
        <v>NO</v>
      </c>
      <c r="S52" s="4" t="str">
        <f>_xlfn.XLOOKUP($C52,MATRIX!$C$8:$C$128,MATRIX!S$8:S$128,)</f>
        <v>NO</v>
      </c>
      <c r="T52" s="4" t="str">
        <f>_xlfn.XLOOKUP($C52,MATRIX!$C$8:$C$128,MATRIX!T$8:T$128,)</f>
        <v>YES</v>
      </c>
      <c r="U52" s="4"/>
      <c r="V52" s="4" t="str">
        <f>_xlfn.XLOOKUP($C52,MATRIX!$C$8:$C$128,MATRIX!V$8:V$128,)</f>
        <v>Done as part of Dome work or as an immediate repair?</v>
      </c>
      <c r="W52" s="135" t="s">
        <v>429</v>
      </c>
    </row>
    <row r="53" spans="1:23" ht="348" outlineLevel="1" x14ac:dyDescent="0.35">
      <c r="A53" s="40"/>
      <c r="B53" s="4" t="str">
        <f>_xlfn.XLOOKUP($C53,MATRIX!$C$8:$C$128,MATRIX!B$8:B$128,)</f>
        <v>MECHANICAL</v>
      </c>
      <c r="C53" s="145" t="s">
        <v>340</v>
      </c>
      <c r="D53" s="4" t="str">
        <f>_xlfn.XLOOKUP($C53,MATRIX!$C$8:$C$128,MATRIX!D$8:D$128,)</f>
        <v xml:space="preserve">Provide mechanical ventilation to areas of the building that rely on natural ventilation or are currently unventilated. </v>
      </c>
      <c r="E53" s="4" t="str">
        <f>_xlfn.XLOOKUP($C53,MATRIX!$C$8:$C$128,MATRIX!E$8:E$128,)</f>
        <v>UPGRADES / IMPROVEMENTS</v>
      </c>
      <c r="F53" s="4" t="str">
        <f>_xlfn.XLOOKUP($C53,MATRIX!$C$8:$C$128,MATRIX!F$8:F$128,)</f>
        <v>2_MID 5-10 years</v>
      </c>
      <c r="G53" s="4" t="str">
        <f>_xlfn.XLOOKUP($C53,MATRIX!$C$8:$C$128,MATRIX!G$8:G$128,)</f>
        <v>WHOLE BUILDING</v>
      </c>
      <c r="H53" s="4" t="str">
        <f>_xlfn.XLOOKUP($C53,MATRIX!$C$8:$C$128,MATRIX!H$8:H$128,)</f>
        <v>WHOLE BUILDING</v>
      </c>
      <c r="I53" s="4" t="str">
        <f>_xlfn.XLOOKUP($C53,MATRIX!$C$8:$C$128,MATRIX!I$8:I$128,)</f>
        <v>HIGH</v>
      </c>
      <c r="J53" s="4" t="str">
        <f>_xlfn.XLOOKUP($C53,MATRIX!$C$8:$C$128,MATRIX!J$8:J$128,)</f>
        <v>HIGH</v>
      </c>
      <c r="K53" s="4" t="str">
        <f>_xlfn.XLOOKUP($C53,MATRIX!$C$8:$C$128,MATRIX!K$8:K$128,)</f>
        <v>N/A</v>
      </c>
      <c r="L53" s="4" t="str">
        <f>_xlfn.XLOOKUP($C53,MATRIX!$C$8:$C$128,MATRIX!L$8:L$128,)</f>
        <v>$$$ HIGH</v>
      </c>
      <c r="M53" s="4" t="str">
        <f>_xlfn.XLOOKUP($C53,MATRIX!$C$8:$C$128,MATRIX!M$8:M$128,)</f>
        <v>HIGH REDUCTION</v>
      </c>
      <c r="N53" s="4" t="str">
        <f>_xlfn.XLOOKUP($C53,MATRIX!$C$8:$C$128,MATRIX!N$8:N$128,)</f>
        <v>HIGH REDUCTION</v>
      </c>
      <c r="O53" s="4" t="str">
        <f>_xlfn.XLOOKUP($C53,MATRIX!$C$8:$C$128,MATRIX!O$8:O$128,)</f>
        <v>MODERATE</v>
      </c>
      <c r="P53" s="4" t="str">
        <f>_xlfn.XLOOKUP($C53,MATRIX!$C$8:$C$128,MATRIX!P$8:P$128,)</f>
        <v>YES</v>
      </c>
      <c r="Q53" s="4" t="str">
        <f>_xlfn.XLOOKUP($C53,MATRIX!$C$8:$C$128,MATRIX!Q$8:Q$128,)</f>
        <v>YES</v>
      </c>
      <c r="R53" s="4" t="str">
        <f>_xlfn.XLOOKUP($C53,MATRIX!$C$8:$C$128,MATRIX!R$8:R$128,)</f>
        <v>YES</v>
      </c>
      <c r="S53" s="4" t="str">
        <f>_xlfn.XLOOKUP($C53,MATRIX!$C$8:$C$128,MATRIX!S$8:S$128,)</f>
        <v>NO</v>
      </c>
      <c r="T53" s="4" t="str">
        <f>_xlfn.XLOOKUP($C53,MATRIX!$C$8:$C$128,MATRIX!T$8:T$128,)</f>
        <v>YES</v>
      </c>
      <c r="U53" s="4"/>
      <c r="V53" s="4" t="str">
        <f>_xlfn.XLOOKUP($C53,MATRIX!$C$8:$C$128,MATRIX!V$8:V$128,)</f>
        <v xml:space="preserve">Retrofitting mechanical ventilation is challenging.  The East Wing is a sensible starting point as the West Wing has demonstrated that it is possible.  Areas in the Annex will be harder but the potential impact is high. </v>
      </c>
      <c r="W53" s="135" t="s">
        <v>458</v>
      </c>
    </row>
    <row r="54" spans="1:23" ht="24.75" customHeight="1" x14ac:dyDescent="0.35">
      <c r="A54" s="40"/>
      <c r="B54" s="4"/>
      <c r="C54" s="145"/>
      <c r="D54" s="4"/>
      <c r="E54" s="4"/>
      <c r="F54" s="4"/>
      <c r="G54" s="4"/>
      <c r="H54" s="4"/>
      <c r="I54" s="4"/>
      <c r="J54" s="4"/>
      <c r="K54" s="4"/>
      <c r="L54" s="4"/>
      <c r="M54" s="4"/>
      <c r="N54" s="4"/>
      <c r="O54" s="4"/>
      <c r="P54" s="4"/>
      <c r="Q54" s="4"/>
      <c r="R54" s="4"/>
      <c r="S54" s="4"/>
      <c r="T54" s="4"/>
      <c r="U54" s="4"/>
      <c r="V54" s="4"/>
      <c r="W54" s="4"/>
    </row>
    <row r="55" spans="1:23" x14ac:dyDescent="0.35">
      <c r="A55" s="141" t="s">
        <v>459</v>
      </c>
      <c r="B55" s="141" t="s">
        <v>460</v>
      </c>
      <c r="C55" s="142"/>
      <c r="D55" s="143"/>
      <c r="E55" s="144"/>
      <c r="F55" s="144"/>
      <c r="G55" s="144"/>
      <c r="H55" s="144"/>
      <c r="I55" s="144"/>
      <c r="J55" s="144"/>
      <c r="K55" s="144"/>
      <c r="L55" s="144"/>
      <c r="M55" s="144"/>
      <c r="N55" s="144"/>
      <c r="O55" s="144"/>
      <c r="P55" s="144"/>
      <c r="Q55" s="144"/>
      <c r="R55" s="144"/>
      <c r="S55" s="144"/>
      <c r="T55" s="144"/>
      <c r="U55" s="144"/>
      <c r="V55" s="144"/>
      <c r="W55" s="143"/>
    </row>
    <row r="56" spans="1:23" outlineLevel="1" x14ac:dyDescent="0.35">
      <c r="A56" s="40"/>
      <c r="B56" s="4" t="e">
        <f>_xlfn.XLOOKUP($C$47,MATRIX!$C$8:$C$128,MATRIX!B16:B136,)</f>
        <v>#N/A</v>
      </c>
      <c r="C56" s="145" t="s">
        <v>451</v>
      </c>
      <c r="D56" s="4" t="e">
        <f>_xlfn.XLOOKUP($C56,MATRIX!$C$8:$C$128,MATRIX!D$8:D$128,)</f>
        <v>#N/A</v>
      </c>
      <c r="E56" s="4" t="e">
        <f>_xlfn.XLOOKUP($C56,MATRIX!$C$8:$C$128,MATRIX!E$8:E$128,)</f>
        <v>#N/A</v>
      </c>
      <c r="F56" s="4" t="e">
        <f>_xlfn.XLOOKUP($C56,MATRIX!$C$8:$C$128,MATRIX!F$8:F$128,)</f>
        <v>#N/A</v>
      </c>
      <c r="G56" s="4" t="e">
        <f>_xlfn.XLOOKUP($C56,MATRIX!$C$8:$C$128,MATRIX!G$8:G$128,)</f>
        <v>#N/A</v>
      </c>
      <c r="H56" s="4" t="e">
        <f>_xlfn.XLOOKUP($C56,MATRIX!$C$8:$C$128,MATRIX!H$8:H$128,)</f>
        <v>#N/A</v>
      </c>
      <c r="I56" s="4" t="e">
        <f>_xlfn.XLOOKUP($C56,MATRIX!$C$8:$C$128,MATRIX!I$8:I$128,)</f>
        <v>#N/A</v>
      </c>
      <c r="J56" s="4" t="e">
        <f>_xlfn.XLOOKUP($C56,MATRIX!$C$8:$C$128,MATRIX!J$8:J$128,)</f>
        <v>#N/A</v>
      </c>
      <c r="K56" s="4" t="e">
        <f>_xlfn.XLOOKUP($C56,MATRIX!$C$8:$C$128,MATRIX!K$8:K$128,)</f>
        <v>#N/A</v>
      </c>
      <c r="L56" s="4" t="e">
        <f>_xlfn.XLOOKUP($C56,MATRIX!$C$8:$C$128,MATRIX!L$8:L$128,)</f>
        <v>#N/A</v>
      </c>
      <c r="M56" s="4" t="e">
        <f>_xlfn.XLOOKUP($C56,MATRIX!$C$8:$C$128,MATRIX!M$8:M$128,)</f>
        <v>#N/A</v>
      </c>
      <c r="N56" s="4" t="e">
        <f>_xlfn.XLOOKUP($C56,MATRIX!$C$8:$C$128,MATRIX!N$8:N$128,)</f>
        <v>#N/A</v>
      </c>
      <c r="O56" s="4" t="e">
        <f>_xlfn.XLOOKUP($C56,MATRIX!$C$8:$C$128,MATRIX!O$8:O$128,)</f>
        <v>#N/A</v>
      </c>
      <c r="P56" s="4" t="e">
        <f>_xlfn.XLOOKUP($C56,MATRIX!$C$8:$C$128,MATRIX!P$8:P$128,)</f>
        <v>#N/A</v>
      </c>
      <c r="Q56" s="4" t="e">
        <f>_xlfn.XLOOKUP($C56,MATRIX!$C$8:$C$128,MATRIX!Q$8:Q$128,)</f>
        <v>#N/A</v>
      </c>
      <c r="R56" s="4" t="e">
        <f>_xlfn.XLOOKUP($C56,MATRIX!$C$8:$C$128,MATRIX!R$8:R$128,)</f>
        <v>#N/A</v>
      </c>
      <c r="S56" s="4" t="e">
        <f>_xlfn.XLOOKUP($C56,MATRIX!$C$8:$C$128,MATRIX!S$8:S$128,)</f>
        <v>#N/A</v>
      </c>
      <c r="T56" s="4" t="e">
        <f>_xlfn.XLOOKUP($C56,MATRIX!$C$8:$C$128,MATRIX!T$8:T$128,)</f>
        <v>#N/A</v>
      </c>
      <c r="U56" s="4"/>
      <c r="V56" s="4" t="e">
        <f>_xlfn.XLOOKUP($C56,MATRIX!$C$8:$C$128,MATRIX!V$8:V$128,)</f>
        <v>#N/A</v>
      </c>
      <c r="W56" s="135" t="s">
        <v>461</v>
      </c>
    </row>
    <row r="57" spans="1:23" ht="29" outlineLevel="1" x14ac:dyDescent="0.35">
      <c r="A57" s="40"/>
      <c r="B57" s="4" t="e">
        <f>_xlfn.XLOOKUP($C57,MATRIX!$C$8:$C$128,MATRIX!B$8:B$128,)</f>
        <v>#N/A</v>
      </c>
      <c r="C57" s="145" t="s">
        <v>453</v>
      </c>
      <c r="D57" s="4" t="e">
        <f>_xlfn.XLOOKUP($C57,MATRIX!$C$8:$C$128,MATRIX!D$8:D$128,)</f>
        <v>#N/A</v>
      </c>
      <c r="E57" s="4" t="e">
        <f>_xlfn.XLOOKUP($C57,MATRIX!$C$8:$C$128,MATRIX!E$8:E$128,)</f>
        <v>#N/A</v>
      </c>
      <c r="F57" s="4" t="e">
        <f>_xlfn.XLOOKUP($C57,MATRIX!$C$8:$C$128,MATRIX!F$8:F$128,)</f>
        <v>#N/A</v>
      </c>
      <c r="G57" s="4" t="e">
        <f>_xlfn.XLOOKUP($C57,MATRIX!$C$8:$C$128,MATRIX!G$8:G$128,)</f>
        <v>#N/A</v>
      </c>
      <c r="H57" s="4" t="e">
        <f>_xlfn.XLOOKUP($C57,MATRIX!$C$8:$C$128,MATRIX!H$8:H$128,)</f>
        <v>#N/A</v>
      </c>
      <c r="I57" s="4" t="e">
        <f>_xlfn.XLOOKUP($C57,MATRIX!$C$8:$C$128,MATRIX!I$8:I$128,)</f>
        <v>#N/A</v>
      </c>
      <c r="J57" s="4" t="e">
        <f>_xlfn.XLOOKUP($C57,MATRIX!$C$8:$C$128,MATRIX!J$8:J$128,)</f>
        <v>#N/A</v>
      </c>
      <c r="K57" s="4" t="e">
        <f>_xlfn.XLOOKUP($C57,MATRIX!$C$8:$C$128,MATRIX!K$8:K$128,)</f>
        <v>#N/A</v>
      </c>
      <c r="L57" s="4" t="e">
        <f>_xlfn.XLOOKUP($C57,MATRIX!$C$8:$C$128,MATRIX!L$8:L$128,)</f>
        <v>#N/A</v>
      </c>
      <c r="M57" s="4" t="e">
        <f>_xlfn.XLOOKUP($C57,MATRIX!$C$8:$C$128,MATRIX!M$8:M$128,)</f>
        <v>#N/A</v>
      </c>
      <c r="N57" s="4" t="e">
        <f>_xlfn.XLOOKUP($C57,MATRIX!$C$8:$C$128,MATRIX!N$8:N$128,)</f>
        <v>#N/A</v>
      </c>
      <c r="O57" s="4" t="e">
        <f>_xlfn.XLOOKUP($C57,MATRIX!$C$8:$C$128,MATRIX!O$8:O$128,)</f>
        <v>#N/A</v>
      </c>
      <c r="P57" s="4" t="e">
        <f>_xlfn.XLOOKUP($C57,MATRIX!$C$8:$C$128,MATRIX!P$8:P$128,)</f>
        <v>#N/A</v>
      </c>
      <c r="Q57" s="4" t="e">
        <f>_xlfn.XLOOKUP($C57,MATRIX!$C$8:$C$128,MATRIX!Q$8:Q$128,)</f>
        <v>#N/A</v>
      </c>
      <c r="R57" s="4" t="e">
        <f>_xlfn.XLOOKUP($C57,MATRIX!$C$8:$C$128,MATRIX!R$8:R$128,)</f>
        <v>#N/A</v>
      </c>
      <c r="S57" s="4" t="e">
        <f>_xlfn.XLOOKUP($C57,MATRIX!$C$8:$C$128,MATRIX!S$8:S$128,)</f>
        <v>#N/A</v>
      </c>
      <c r="T57" s="4" t="e">
        <f>_xlfn.XLOOKUP($C57,MATRIX!$C$8:$C$128,MATRIX!T$8:T$128,)</f>
        <v>#N/A</v>
      </c>
      <c r="U57" s="4"/>
      <c r="V57" s="4" t="e">
        <f>_xlfn.XLOOKUP($C57,MATRIX!$C$8:$C$128,MATRIX!V$8:V$128,)</f>
        <v>#N/A</v>
      </c>
      <c r="W57" s="135" t="s">
        <v>462</v>
      </c>
    </row>
    <row r="58" spans="1:23" ht="72.5" outlineLevel="1" x14ac:dyDescent="0.35">
      <c r="A58" s="40"/>
      <c r="B58" s="4" t="str">
        <f>_xlfn.XLOOKUP($C58,MATRIX!$C$8:$C$128,MATRIX!B$8:B$128,)</f>
        <v>ENVELOPE</v>
      </c>
      <c r="C58" s="145" t="s">
        <v>243</v>
      </c>
      <c r="D58" s="4" t="str">
        <f>_xlfn.XLOOKUP($C58,MATRIX!$C$8:$C$128,MATRIX!D$8:D$128,)</f>
        <v xml:space="preserve">Wall Insulation: Assess options to provide insulation where none exists; consider with scheduled replacement of roofs or interior finishes. </v>
      </c>
      <c r="E58" s="4" t="str">
        <f>_xlfn.XLOOKUP($C58,MATRIX!$C$8:$C$128,MATRIX!E$8:E$128,)</f>
        <v>UPGRADES / IMPROVEMENTS</v>
      </c>
      <c r="F58" s="4" t="str">
        <f>_xlfn.XLOOKUP($C58,MATRIX!$C$8:$C$128,MATRIX!F$8:F$128,)</f>
        <v>1_HIGH &lt;5 years</v>
      </c>
      <c r="G58" s="4" t="str">
        <f>_xlfn.XLOOKUP($C58,MATRIX!$C$8:$C$128,MATRIX!G$8:G$128,)</f>
        <v>WHOLE BUILDING</v>
      </c>
      <c r="H58" s="4" t="str">
        <f>_xlfn.XLOOKUP($C58,MATRIX!$C$8:$C$128,MATRIX!H$8:H$128,)</f>
        <v>ENVELOPE (EXT. WALLS)</v>
      </c>
      <c r="I58" s="4" t="str">
        <f>_xlfn.XLOOKUP($C58,MATRIX!$C$8:$C$128,MATRIX!I$8:I$128,)</f>
        <v>MODERATE</v>
      </c>
      <c r="J58" s="4" t="str">
        <f>_xlfn.XLOOKUP($C58,MATRIX!$C$8:$C$128,MATRIX!J$8:J$128,)</f>
        <v>MODERATE</v>
      </c>
      <c r="K58" s="4" t="str">
        <f>_xlfn.XLOOKUP($C58,MATRIX!$C$8:$C$128,MATRIX!K$8:K$128,)</f>
        <v>LOW</v>
      </c>
      <c r="L58" s="4" t="str">
        <f>_xlfn.XLOOKUP($C58,MATRIX!$C$8:$C$128,MATRIX!L$8:L$128,)</f>
        <v>$$$ HIGH</v>
      </c>
      <c r="M58" s="4" t="str">
        <f>_xlfn.XLOOKUP($C58,MATRIX!$C$8:$C$128,MATRIX!M$8:M$128,)</f>
        <v>MINIMAL IMPACT</v>
      </c>
      <c r="N58" s="4" t="str">
        <f>_xlfn.XLOOKUP($C58,MATRIX!$C$8:$C$128,MATRIX!N$8:N$128,)</f>
        <v>MINIMAL IMPACT</v>
      </c>
      <c r="O58" s="4" t="str">
        <f>_xlfn.XLOOKUP($C58,MATRIX!$C$8:$C$128,MATRIX!O$8:O$128,)</f>
        <v>N/A</v>
      </c>
      <c r="P58" s="4" t="str">
        <f>_xlfn.XLOOKUP($C58,MATRIX!$C$8:$C$128,MATRIX!P$8:P$128,)</f>
        <v>YES</v>
      </c>
      <c r="Q58" s="4" t="str">
        <f>_xlfn.XLOOKUP($C58,MATRIX!$C$8:$C$128,MATRIX!Q$8:Q$128,)</f>
        <v>NO</v>
      </c>
      <c r="R58" s="4" t="str">
        <f>_xlfn.XLOOKUP($C58,MATRIX!$C$8:$C$128,MATRIX!R$8:R$128,)</f>
        <v>NO</v>
      </c>
      <c r="S58" s="4" t="str">
        <f>_xlfn.XLOOKUP($C58,MATRIX!$C$8:$C$128,MATRIX!S$8:S$128,)</f>
        <v>NO</v>
      </c>
      <c r="T58" s="4" t="str">
        <f>_xlfn.XLOOKUP($C58,MATRIX!$C$8:$C$128,MATRIX!T$8:T$128,)</f>
        <v>YES</v>
      </c>
      <c r="U58" s="4"/>
      <c r="V58" s="4" t="str">
        <f>_xlfn.XLOOKUP($C58,MATRIX!$C$8:$C$128,MATRIX!V$8:V$128,)</f>
        <v>Insulation will only have impact on energy usage if impacts operation of HVAC equipment. SGH energy modeling on similar buildings show a energy usage change in the 5% range.</v>
      </c>
      <c r="W58" s="135" t="s">
        <v>463</v>
      </c>
    </row>
    <row r="59" spans="1:23" ht="43.5" outlineLevel="1" x14ac:dyDescent="0.35">
      <c r="A59" s="40"/>
      <c r="B59" s="4" t="str">
        <f>_xlfn.XLOOKUP($C59,MATRIX!$C$8:$C$128,MATRIX!B$8:B$128,)</f>
        <v>HISTORIC PRESERVATION</v>
      </c>
      <c r="C59" s="145" t="s">
        <v>297</v>
      </c>
      <c r="D59" s="4" t="str">
        <f>_xlfn.XLOOKUP($C59,MATRIX!$C$8:$C$128,MATRIX!D$8:D$128,)</f>
        <v>Exterior Masonry. Maintenance restoration campaign to include selective clean, repoint and repairs.</v>
      </c>
      <c r="E59" s="4" t="str">
        <f>_xlfn.XLOOKUP($C59,MATRIX!$C$8:$C$128,MATRIX!E$8:E$128,)</f>
        <v>DEFERRED MAINTENANCE</v>
      </c>
      <c r="F59" s="4" t="str">
        <f>_xlfn.XLOOKUP($C59,MATRIX!$C$8:$C$128,MATRIX!F$8:F$128,)</f>
        <v>1_HIGH &lt;5 years</v>
      </c>
      <c r="G59" s="4" t="str">
        <f>_xlfn.XLOOKUP($C59,MATRIX!$C$8:$C$128,MATRIX!G$8:G$128,)</f>
        <v>WHOLE BUILDING</v>
      </c>
      <c r="H59" s="4" t="str">
        <f>_xlfn.XLOOKUP($C59,MATRIX!$C$8:$C$128,MATRIX!H$8:H$128,)</f>
        <v>ENVELOPE (EXT. WALLS)</v>
      </c>
      <c r="I59" s="4" t="str">
        <f>_xlfn.XLOOKUP($C59,MATRIX!$C$8:$C$128,MATRIX!I$8:I$128,)</f>
        <v>MODERATE</v>
      </c>
      <c r="J59" s="4" t="str">
        <f>_xlfn.XLOOKUP($C59,MATRIX!$C$8:$C$128,MATRIX!J$8:J$128,)</f>
        <v>N/A</v>
      </c>
      <c r="K59" s="4" t="str">
        <f>_xlfn.XLOOKUP($C59,MATRIX!$C$8:$C$128,MATRIX!K$8:K$128,)</f>
        <v>LOW</v>
      </c>
      <c r="L59" s="4" t="str">
        <f>_xlfn.XLOOKUP($C59,MATRIX!$C$8:$C$128,MATRIX!L$8:L$128,)</f>
        <v>$$ MODERATE</v>
      </c>
      <c r="M59" s="4" t="str">
        <f>_xlfn.XLOOKUP($C59,MATRIX!$C$8:$C$128,MATRIX!M$8:M$128,)</f>
        <v>INCREASE</v>
      </c>
      <c r="N59" s="4" t="str">
        <f>_xlfn.XLOOKUP($C59,MATRIX!$C$8:$C$128,MATRIX!N$8:N$128,)</f>
        <v>N/A</v>
      </c>
      <c r="O59" s="4" t="str">
        <f>_xlfn.XLOOKUP($C59,MATRIX!$C$8:$C$128,MATRIX!O$8:O$128,)</f>
        <v>N/A</v>
      </c>
      <c r="P59" s="4" t="str">
        <f>_xlfn.XLOOKUP($C59,MATRIX!$C$8:$C$128,MATRIX!P$8:P$128,)</f>
        <v>NO</v>
      </c>
      <c r="Q59" s="4" t="str">
        <f>_xlfn.XLOOKUP($C59,MATRIX!$C$8:$C$128,MATRIX!Q$8:Q$128,)</f>
        <v>YES</v>
      </c>
      <c r="R59" s="4" t="str">
        <f>_xlfn.XLOOKUP($C59,MATRIX!$C$8:$C$128,MATRIX!R$8:R$128,)</f>
        <v>NO</v>
      </c>
      <c r="S59" s="4" t="str">
        <f>_xlfn.XLOOKUP($C59,MATRIX!$C$8:$C$128,MATRIX!S$8:S$128,)</f>
        <v>NO</v>
      </c>
      <c r="T59" s="4" t="str">
        <f>_xlfn.XLOOKUP($C59,MATRIX!$C$8:$C$128,MATRIX!T$8:T$128,)</f>
        <v>YES</v>
      </c>
      <c r="U59" s="4"/>
      <c r="V59" s="4" t="str">
        <f>_xlfn.XLOOKUP($C59,MATRIX!$C$8:$C$128,MATRIX!V$8:V$128,)</f>
        <v>Done as part of Dome work or as an immediate repair?</v>
      </c>
      <c r="W59" s="135" t="s">
        <v>430</v>
      </c>
    </row>
    <row r="60" spans="1:23" ht="362.5" outlineLevel="1" x14ac:dyDescent="0.35">
      <c r="A60" s="40"/>
      <c r="B60" s="4" t="str">
        <f>_xlfn.XLOOKUP($C60,MATRIX!$C$8:$C$128,MATRIX!B$8:B$128,)</f>
        <v>MECHANICAL</v>
      </c>
      <c r="C60" s="145" t="s">
        <v>340</v>
      </c>
      <c r="D60" s="4" t="str">
        <f>_xlfn.XLOOKUP($C60,MATRIX!$C$8:$C$128,MATRIX!D$8:D$128,)</f>
        <v xml:space="preserve">Provide mechanical ventilation to areas of the building that rely on natural ventilation or are currently unventilated. </v>
      </c>
      <c r="E60" s="4" t="str">
        <f>_xlfn.XLOOKUP($C60,MATRIX!$C$8:$C$128,MATRIX!E$8:E$128,)</f>
        <v>UPGRADES / IMPROVEMENTS</v>
      </c>
      <c r="F60" s="4" t="str">
        <f>_xlfn.XLOOKUP($C60,MATRIX!$C$8:$C$128,MATRIX!F$8:F$128,)</f>
        <v>2_MID 5-10 years</v>
      </c>
      <c r="G60" s="4" t="str">
        <f>_xlfn.XLOOKUP($C60,MATRIX!$C$8:$C$128,MATRIX!G$8:G$128,)</f>
        <v>WHOLE BUILDING</v>
      </c>
      <c r="H60" s="4" t="str">
        <f>_xlfn.XLOOKUP($C60,MATRIX!$C$8:$C$128,MATRIX!H$8:H$128,)</f>
        <v>WHOLE BUILDING</v>
      </c>
      <c r="I60" s="4" t="str">
        <f>_xlfn.XLOOKUP($C60,MATRIX!$C$8:$C$128,MATRIX!I$8:I$128,)</f>
        <v>HIGH</v>
      </c>
      <c r="J60" s="4" t="str">
        <f>_xlfn.XLOOKUP($C60,MATRIX!$C$8:$C$128,MATRIX!J$8:J$128,)</f>
        <v>HIGH</v>
      </c>
      <c r="K60" s="4" t="str">
        <f>_xlfn.XLOOKUP($C60,MATRIX!$C$8:$C$128,MATRIX!K$8:K$128,)</f>
        <v>N/A</v>
      </c>
      <c r="L60" s="4" t="str">
        <f>_xlfn.XLOOKUP($C60,MATRIX!$C$8:$C$128,MATRIX!L$8:L$128,)</f>
        <v>$$$ HIGH</v>
      </c>
      <c r="M60" s="4" t="str">
        <f>_xlfn.XLOOKUP($C60,MATRIX!$C$8:$C$128,MATRIX!M$8:M$128,)</f>
        <v>HIGH REDUCTION</v>
      </c>
      <c r="N60" s="4" t="str">
        <f>_xlfn.XLOOKUP($C60,MATRIX!$C$8:$C$128,MATRIX!N$8:N$128,)</f>
        <v>HIGH REDUCTION</v>
      </c>
      <c r="O60" s="4" t="str">
        <f>_xlfn.XLOOKUP($C60,MATRIX!$C$8:$C$128,MATRIX!O$8:O$128,)</f>
        <v>MODERATE</v>
      </c>
      <c r="P60" s="4" t="str">
        <f>_xlfn.XLOOKUP($C60,MATRIX!$C$8:$C$128,MATRIX!P$8:P$128,)</f>
        <v>YES</v>
      </c>
      <c r="Q60" s="4" t="str">
        <f>_xlfn.XLOOKUP($C60,MATRIX!$C$8:$C$128,MATRIX!Q$8:Q$128,)</f>
        <v>YES</v>
      </c>
      <c r="R60" s="4" t="str">
        <f>_xlfn.XLOOKUP($C60,MATRIX!$C$8:$C$128,MATRIX!R$8:R$128,)</f>
        <v>YES</v>
      </c>
      <c r="S60" s="4" t="str">
        <f>_xlfn.XLOOKUP($C60,MATRIX!$C$8:$C$128,MATRIX!S$8:S$128,)</f>
        <v>NO</v>
      </c>
      <c r="T60" s="4" t="str">
        <f>_xlfn.XLOOKUP($C60,MATRIX!$C$8:$C$128,MATRIX!T$8:T$128,)</f>
        <v>YES</v>
      </c>
      <c r="U60" s="4"/>
      <c r="V60" s="4" t="str">
        <f>_xlfn.XLOOKUP($C60,MATRIX!$C$8:$C$128,MATRIX!V$8:V$128,)</f>
        <v xml:space="preserve">Retrofitting mechanical ventilation is challenging.  The East Wing is a sensible starting point as the West Wing has demonstrated that it is possible.  Areas in the Annex will be harder but the potential impact is high. </v>
      </c>
      <c r="W60" s="135" t="s">
        <v>464</v>
      </c>
    </row>
    <row r="61" spans="1:23" x14ac:dyDescent="0.35">
      <c r="A61" s="40"/>
      <c r="B61" s="4"/>
      <c r="C61" s="145"/>
      <c r="D61" s="4"/>
      <c r="E61" s="4"/>
      <c r="F61" s="4"/>
      <c r="G61" s="4"/>
      <c r="H61" s="4"/>
      <c r="I61" s="4"/>
      <c r="J61" s="4"/>
      <c r="K61" s="4"/>
      <c r="L61" s="4"/>
      <c r="M61" s="4"/>
      <c r="N61" s="4"/>
      <c r="O61" s="4"/>
      <c r="P61" s="4"/>
      <c r="Q61" s="4"/>
      <c r="R61" s="4"/>
      <c r="S61" s="4"/>
      <c r="T61" s="4"/>
      <c r="U61" s="4"/>
      <c r="V61" s="4"/>
      <c r="W61" s="4"/>
    </row>
    <row r="62" spans="1:23" x14ac:dyDescent="0.35">
      <c r="A62" s="40"/>
      <c r="B62" s="4"/>
      <c r="C62" s="145"/>
      <c r="D62" s="4"/>
      <c r="E62" s="4"/>
      <c r="F62" s="4"/>
      <c r="G62" s="4"/>
      <c r="H62" s="4"/>
      <c r="I62" s="4"/>
      <c r="J62" s="4"/>
      <c r="K62" s="4"/>
      <c r="L62" s="4"/>
      <c r="M62" s="4"/>
      <c r="N62" s="4"/>
      <c r="O62" s="4"/>
      <c r="P62" s="4"/>
      <c r="Q62" s="4"/>
      <c r="R62" s="4"/>
      <c r="S62" s="4"/>
      <c r="T62" s="4"/>
      <c r="U62" s="4"/>
      <c r="V62" s="4"/>
      <c r="W62" s="4"/>
    </row>
    <row r="63" spans="1:23" x14ac:dyDescent="0.35">
      <c r="A63" s="141" t="s">
        <v>465</v>
      </c>
      <c r="B63" s="141" t="s">
        <v>466</v>
      </c>
      <c r="C63" s="142"/>
      <c r="D63" s="143"/>
      <c r="E63" s="144"/>
      <c r="F63" s="144"/>
      <c r="G63" s="144"/>
      <c r="H63" s="144"/>
      <c r="I63" s="144"/>
      <c r="J63" s="144"/>
      <c r="K63" s="144"/>
      <c r="L63" s="144"/>
      <c r="M63" s="144"/>
      <c r="N63" s="144"/>
      <c r="O63" s="144"/>
      <c r="P63" s="144"/>
      <c r="Q63" s="144"/>
      <c r="R63" s="144"/>
      <c r="S63" s="144"/>
      <c r="T63" s="144"/>
      <c r="U63" s="144"/>
      <c r="V63" s="144"/>
      <c r="W63" s="143"/>
    </row>
    <row r="64" spans="1:23" ht="29" outlineLevel="1" x14ac:dyDescent="0.35">
      <c r="A64" s="40"/>
      <c r="B64" s="4" t="e">
        <f>_xlfn.XLOOKUP($C$47,MATRIX!$C$8:$C$128,MATRIX!B25:B145,)</f>
        <v>#N/A</v>
      </c>
      <c r="C64" s="145" t="s">
        <v>451</v>
      </c>
      <c r="D64" s="4" t="e">
        <f>_xlfn.XLOOKUP($C64,MATRIX!$C$8:$C$128,MATRIX!D$8:D$128,)</f>
        <v>#N/A</v>
      </c>
      <c r="E64" s="4" t="e">
        <f>_xlfn.XLOOKUP($C64,MATRIX!$C$8:$C$128,MATRIX!E$8:E$128,)</f>
        <v>#N/A</v>
      </c>
      <c r="F64" s="4" t="e">
        <f>_xlfn.XLOOKUP($C64,MATRIX!$C$8:$C$128,MATRIX!F$8:F$128,)</f>
        <v>#N/A</v>
      </c>
      <c r="G64" s="4" t="e">
        <f>_xlfn.XLOOKUP($C64,MATRIX!$C$8:$C$128,MATRIX!G$8:G$128,)</f>
        <v>#N/A</v>
      </c>
      <c r="H64" s="4" t="e">
        <f>_xlfn.XLOOKUP($C64,MATRIX!$C$8:$C$128,MATRIX!H$8:H$128,)</f>
        <v>#N/A</v>
      </c>
      <c r="I64" s="4" t="e">
        <f>_xlfn.XLOOKUP($C64,MATRIX!$C$8:$C$128,MATRIX!I$8:I$128,)</f>
        <v>#N/A</v>
      </c>
      <c r="J64" s="4" t="e">
        <f>_xlfn.XLOOKUP($C64,MATRIX!$C$8:$C$128,MATRIX!J$8:J$128,)</f>
        <v>#N/A</v>
      </c>
      <c r="K64" s="4" t="e">
        <f>_xlfn.XLOOKUP($C64,MATRIX!$C$8:$C$128,MATRIX!K$8:K$128,)</f>
        <v>#N/A</v>
      </c>
      <c r="L64" s="4" t="e">
        <f>_xlfn.XLOOKUP($C64,MATRIX!$C$8:$C$128,MATRIX!L$8:L$128,)</f>
        <v>#N/A</v>
      </c>
      <c r="M64" s="4" t="e">
        <f>_xlfn.XLOOKUP($C64,MATRIX!$C$8:$C$128,MATRIX!M$8:M$128,)</f>
        <v>#N/A</v>
      </c>
      <c r="N64" s="4" t="e">
        <f>_xlfn.XLOOKUP($C64,MATRIX!$C$8:$C$128,MATRIX!N$8:N$128,)</f>
        <v>#N/A</v>
      </c>
      <c r="O64" s="4" t="e">
        <f>_xlfn.XLOOKUP($C64,MATRIX!$C$8:$C$128,MATRIX!O$8:O$128,)</f>
        <v>#N/A</v>
      </c>
      <c r="P64" s="4" t="e">
        <f>_xlfn.XLOOKUP($C64,MATRIX!$C$8:$C$128,MATRIX!P$8:P$128,)</f>
        <v>#N/A</v>
      </c>
      <c r="Q64" s="4" t="e">
        <f>_xlfn.XLOOKUP($C64,MATRIX!$C$8:$C$128,MATRIX!Q$8:Q$128,)</f>
        <v>#N/A</v>
      </c>
      <c r="R64" s="4" t="e">
        <f>_xlfn.XLOOKUP($C64,MATRIX!$C$8:$C$128,MATRIX!R$8:R$128,)</f>
        <v>#N/A</v>
      </c>
      <c r="S64" s="4" t="e">
        <f>_xlfn.XLOOKUP($C64,MATRIX!$C$8:$C$128,MATRIX!S$8:S$128,)</f>
        <v>#N/A</v>
      </c>
      <c r="T64" s="4" t="e">
        <f>_xlfn.XLOOKUP($C64,MATRIX!$C$8:$C$128,MATRIX!T$8:T$128,)</f>
        <v>#N/A</v>
      </c>
      <c r="U64" s="4"/>
      <c r="V64" s="4" t="e">
        <f>_xlfn.XLOOKUP($C64,MATRIX!$C$8:$C$128,MATRIX!V$8:V$128,)</f>
        <v>#N/A</v>
      </c>
      <c r="W64" s="135" t="s">
        <v>467</v>
      </c>
    </row>
    <row r="65" spans="1:23" ht="29" outlineLevel="1" x14ac:dyDescent="0.35">
      <c r="A65" s="40"/>
      <c r="B65" s="4" t="e">
        <f>_xlfn.XLOOKUP($C65,MATRIX!$C$8:$C$128,MATRIX!B$8:B$128,)</f>
        <v>#N/A</v>
      </c>
      <c r="C65" s="145" t="s">
        <v>453</v>
      </c>
      <c r="D65" s="4" t="e">
        <f>_xlfn.XLOOKUP($C65,MATRIX!$C$8:$C$128,MATRIX!D$8:D$128,)</f>
        <v>#N/A</v>
      </c>
      <c r="E65" s="4" t="e">
        <f>_xlfn.XLOOKUP($C65,MATRIX!$C$8:$C$128,MATRIX!E$8:E$128,)</f>
        <v>#N/A</v>
      </c>
      <c r="F65" s="4" t="e">
        <f>_xlfn.XLOOKUP($C65,MATRIX!$C$8:$C$128,MATRIX!F$8:F$128,)</f>
        <v>#N/A</v>
      </c>
      <c r="G65" s="4" t="e">
        <f>_xlfn.XLOOKUP($C65,MATRIX!$C$8:$C$128,MATRIX!G$8:G$128,)</f>
        <v>#N/A</v>
      </c>
      <c r="H65" s="4" t="e">
        <f>_xlfn.XLOOKUP($C65,MATRIX!$C$8:$C$128,MATRIX!H$8:H$128,)</f>
        <v>#N/A</v>
      </c>
      <c r="I65" s="4" t="e">
        <f>_xlfn.XLOOKUP($C65,MATRIX!$C$8:$C$128,MATRIX!I$8:I$128,)</f>
        <v>#N/A</v>
      </c>
      <c r="J65" s="4" t="e">
        <f>_xlfn.XLOOKUP($C65,MATRIX!$C$8:$C$128,MATRIX!J$8:J$128,)</f>
        <v>#N/A</v>
      </c>
      <c r="K65" s="4" t="e">
        <f>_xlfn.XLOOKUP($C65,MATRIX!$C$8:$C$128,MATRIX!K$8:K$128,)</f>
        <v>#N/A</v>
      </c>
      <c r="L65" s="4" t="e">
        <f>_xlfn.XLOOKUP($C65,MATRIX!$C$8:$C$128,MATRIX!L$8:L$128,)</f>
        <v>#N/A</v>
      </c>
      <c r="M65" s="4" t="e">
        <f>_xlfn.XLOOKUP($C65,MATRIX!$C$8:$C$128,MATRIX!M$8:M$128,)</f>
        <v>#N/A</v>
      </c>
      <c r="N65" s="4" t="e">
        <f>_xlfn.XLOOKUP($C65,MATRIX!$C$8:$C$128,MATRIX!N$8:N$128,)</f>
        <v>#N/A</v>
      </c>
      <c r="O65" s="4" t="e">
        <f>_xlfn.XLOOKUP($C65,MATRIX!$C$8:$C$128,MATRIX!O$8:O$128,)</f>
        <v>#N/A</v>
      </c>
      <c r="P65" s="4" t="e">
        <f>_xlfn.XLOOKUP($C65,MATRIX!$C$8:$C$128,MATRIX!P$8:P$128,)</f>
        <v>#N/A</v>
      </c>
      <c r="Q65" s="4" t="e">
        <f>_xlfn.XLOOKUP($C65,MATRIX!$C$8:$C$128,MATRIX!Q$8:Q$128,)</f>
        <v>#N/A</v>
      </c>
      <c r="R65" s="4" t="e">
        <f>_xlfn.XLOOKUP($C65,MATRIX!$C$8:$C$128,MATRIX!R$8:R$128,)</f>
        <v>#N/A</v>
      </c>
      <c r="S65" s="4" t="e">
        <f>_xlfn.XLOOKUP($C65,MATRIX!$C$8:$C$128,MATRIX!S$8:S$128,)</f>
        <v>#N/A</v>
      </c>
      <c r="T65" s="4" t="e">
        <f>_xlfn.XLOOKUP($C65,MATRIX!$C$8:$C$128,MATRIX!T$8:T$128,)</f>
        <v>#N/A</v>
      </c>
      <c r="U65" s="4"/>
      <c r="V65" s="4" t="e">
        <f>_xlfn.XLOOKUP($C65,MATRIX!$C$8:$C$128,MATRIX!V$8:V$128,)</f>
        <v>#N/A</v>
      </c>
      <c r="W65" s="135" t="s">
        <v>468</v>
      </c>
    </row>
    <row r="66" spans="1:23" ht="29" outlineLevel="1" x14ac:dyDescent="0.35">
      <c r="A66" s="40"/>
      <c r="B66" s="4" t="str">
        <f>_xlfn.XLOOKUP($C66,MATRIX!$C$8:$C$128,MATRIX!B$8:B$128,)</f>
        <v>ENVELOPE</v>
      </c>
      <c r="C66" s="145" t="s">
        <v>209</v>
      </c>
      <c r="D66" s="4" t="str">
        <f>_xlfn.XLOOKUP($C66,MATRIX!$C$8:$C$128,MATRIX!D$8:D$128,)</f>
        <v>Aluminum Windows: replace perimeter sealants</v>
      </c>
      <c r="E66" s="4" t="str">
        <f>_xlfn.XLOOKUP($C66,MATRIX!$C$8:$C$128,MATRIX!E$8:E$128,)</f>
        <v>DEFERRED MAINTENANCE</v>
      </c>
      <c r="F66" s="4" t="str">
        <f>_xlfn.XLOOKUP($C66,MATRIX!$C$8:$C$128,MATRIX!F$8:F$128,)</f>
        <v>2_MID 5-10 years</v>
      </c>
      <c r="G66" s="4" t="str">
        <f>_xlfn.XLOOKUP($C66,MATRIX!$C$8:$C$128,MATRIX!G$8:G$128,)</f>
        <v>OTHER *</v>
      </c>
      <c r="H66" s="4" t="str">
        <f>_xlfn.XLOOKUP($C66,MATRIX!$C$8:$C$128,MATRIX!H$8:H$128,)</f>
        <v>ROOF</v>
      </c>
      <c r="I66" s="4" t="str">
        <f>_xlfn.XLOOKUP($C66,MATRIX!$C$8:$C$128,MATRIX!I$8:I$128,)</f>
        <v>LOW</v>
      </c>
      <c r="J66" s="4" t="str">
        <f>_xlfn.XLOOKUP($C66,MATRIX!$C$8:$C$128,MATRIX!J$8:J$128,)</f>
        <v>N/A</v>
      </c>
      <c r="K66" s="4" t="str">
        <f>_xlfn.XLOOKUP($C66,MATRIX!$C$8:$C$128,MATRIX!K$8:K$128,)</f>
        <v>N/A</v>
      </c>
      <c r="L66" s="4" t="str">
        <f>_xlfn.XLOOKUP($C66,MATRIX!$C$8:$C$128,MATRIX!L$8:L$128,)</f>
        <v>$ LOW</v>
      </c>
      <c r="M66" s="4" t="str">
        <f>_xlfn.XLOOKUP($C66,MATRIX!$C$8:$C$128,MATRIX!M$8:M$128,)</f>
        <v>N/A</v>
      </c>
      <c r="N66" s="4" t="str">
        <f>_xlfn.XLOOKUP($C66,MATRIX!$C$8:$C$128,MATRIX!N$8:N$128,)</f>
        <v>N/A</v>
      </c>
      <c r="O66" s="4" t="str">
        <f>_xlfn.XLOOKUP($C66,MATRIX!$C$8:$C$128,MATRIX!O$8:O$128,)</f>
        <v>N/A</v>
      </c>
      <c r="P66" s="4" t="str">
        <f>_xlfn.XLOOKUP($C66,MATRIX!$C$8:$C$128,MATRIX!P$8:P$128,)</f>
        <v>NO</v>
      </c>
      <c r="Q66" s="4" t="str">
        <f>_xlfn.XLOOKUP($C66,MATRIX!$C$8:$C$128,MATRIX!Q$8:Q$128,)</f>
        <v>YES</v>
      </c>
      <c r="R66" s="4" t="str">
        <f>_xlfn.XLOOKUP($C66,MATRIX!$C$8:$C$128,MATRIX!R$8:R$128,)</f>
        <v>NO</v>
      </c>
      <c r="S66" s="4" t="str">
        <f>_xlfn.XLOOKUP($C66,MATRIX!$C$8:$C$128,MATRIX!S$8:S$128,)</f>
        <v>NO</v>
      </c>
      <c r="T66" s="4" t="str">
        <f>_xlfn.XLOOKUP($C66,MATRIX!$C$8:$C$128,MATRIX!T$8:T$128,)</f>
        <v>NO</v>
      </c>
      <c r="U66" s="4"/>
      <c r="V66" s="4">
        <f>_xlfn.XLOOKUP($C66,MATRIX!$C$8:$C$128,MATRIX!V$8:V$128,)</f>
        <v>0</v>
      </c>
      <c r="W66" s="135" t="s">
        <v>455</v>
      </c>
    </row>
    <row r="67" spans="1:23" ht="29" outlineLevel="1" x14ac:dyDescent="0.35">
      <c r="A67" s="40"/>
      <c r="B67" s="4" t="str">
        <f>_xlfn.XLOOKUP($C67,MATRIX!$C$8:$C$128,MATRIX!B$8:B$128,)</f>
        <v>ENVELOPE</v>
      </c>
      <c r="C67" s="145" t="s">
        <v>211</v>
      </c>
      <c r="D67" s="4" t="str">
        <f>_xlfn.XLOOKUP($C67,MATRIX!$C$8:$C$128,MATRIX!D$8:D$128,)</f>
        <v xml:space="preserve">Wing L5 Cladding: Resecure several loose copper wall panels. </v>
      </c>
      <c r="E67" s="4" t="str">
        <f>_xlfn.XLOOKUP($C67,MATRIX!$C$8:$C$128,MATRIX!E$8:E$128,)</f>
        <v>DEFERRED MAINTENANCE</v>
      </c>
      <c r="F67" s="4" t="str">
        <f>_xlfn.XLOOKUP($C67,MATRIX!$C$8:$C$128,MATRIX!F$8:F$128,)</f>
        <v>1_HIGH &lt;5 years</v>
      </c>
      <c r="G67" s="4" t="str">
        <f>_xlfn.XLOOKUP($C67,MATRIX!$C$8:$C$128,MATRIX!G$8:G$128,)</f>
        <v>OTHER *</v>
      </c>
      <c r="H67" s="4" t="str">
        <f>_xlfn.XLOOKUP($C67,MATRIX!$C$8:$C$128,MATRIX!H$8:H$128,)</f>
        <v>ROOF</v>
      </c>
      <c r="I67" s="4" t="str">
        <f>_xlfn.XLOOKUP($C67,MATRIX!$C$8:$C$128,MATRIX!I$8:I$128,)</f>
        <v>LOW</v>
      </c>
      <c r="J67" s="4" t="str">
        <f>_xlfn.XLOOKUP($C67,MATRIX!$C$8:$C$128,MATRIX!J$8:J$128,)</f>
        <v>N/A</v>
      </c>
      <c r="K67" s="4" t="str">
        <f>_xlfn.XLOOKUP($C67,MATRIX!$C$8:$C$128,MATRIX!K$8:K$128,)</f>
        <v>N/A</v>
      </c>
      <c r="L67" s="4" t="str">
        <f>_xlfn.XLOOKUP($C67,MATRIX!$C$8:$C$128,MATRIX!L$8:L$128,)</f>
        <v>$ LOW</v>
      </c>
      <c r="M67" s="4" t="str">
        <f>_xlfn.XLOOKUP($C67,MATRIX!$C$8:$C$128,MATRIX!M$8:M$128,)</f>
        <v>N/A</v>
      </c>
      <c r="N67" s="4" t="str">
        <f>_xlfn.XLOOKUP($C67,MATRIX!$C$8:$C$128,MATRIX!N$8:N$128,)</f>
        <v>N/A</v>
      </c>
      <c r="O67" s="4" t="str">
        <f>_xlfn.XLOOKUP($C67,MATRIX!$C$8:$C$128,MATRIX!O$8:O$128,)</f>
        <v>N/A</v>
      </c>
      <c r="P67" s="4" t="str">
        <f>_xlfn.XLOOKUP($C67,MATRIX!$C$8:$C$128,MATRIX!P$8:P$128,)</f>
        <v>NO</v>
      </c>
      <c r="Q67" s="4" t="str">
        <f>_xlfn.XLOOKUP($C67,MATRIX!$C$8:$C$128,MATRIX!Q$8:Q$128,)</f>
        <v>YES</v>
      </c>
      <c r="R67" s="4" t="str">
        <f>_xlfn.XLOOKUP($C67,MATRIX!$C$8:$C$128,MATRIX!R$8:R$128,)</f>
        <v>NO</v>
      </c>
      <c r="S67" s="4" t="str">
        <f>_xlfn.XLOOKUP($C67,MATRIX!$C$8:$C$128,MATRIX!S$8:S$128,)</f>
        <v>NO</v>
      </c>
      <c r="T67" s="4" t="str">
        <f>_xlfn.XLOOKUP($C67,MATRIX!$C$8:$C$128,MATRIX!T$8:T$128,)</f>
        <v>NO</v>
      </c>
      <c r="U67" s="4"/>
      <c r="V67" s="4">
        <f>_xlfn.XLOOKUP($C67,MATRIX!$C$8:$C$128,MATRIX!V$8:V$128,)</f>
        <v>0</v>
      </c>
      <c r="W67" s="135" t="s">
        <v>456</v>
      </c>
    </row>
    <row r="68" spans="1:23" ht="72.5" outlineLevel="1" x14ac:dyDescent="0.35">
      <c r="A68" s="40"/>
      <c r="B68" s="4" t="str">
        <f>_xlfn.XLOOKUP($C68,MATRIX!$C$8:$C$128,MATRIX!B$8:B$128,)</f>
        <v>ENVELOPE</v>
      </c>
      <c r="C68" s="145" t="s">
        <v>243</v>
      </c>
      <c r="D68" s="4" t="str">
        <f>_xlfn.XLOOKUP($C68,MATRIX!$C$8:$C$128,MATRIX!D$8:D$128,)</f>
        <v xml:space="preserve">Wall Insulation: Assess options to provide insulation where none exists; consider with scheduled replacement of roofs or interior finishes. </v>
      </c>
      <c r="E68" s="4" t="str">
        <f>_xlfn.XLOOKUP($C68,MATRIX!$C$8:$C$128,MATRIX!E$8:E$128,)</f>
        <v>UPGRADES / IMPROVEMENTS</v>
      </c>
      <c r="F68" s="4" t="str">
        <f>_xlfn.XLOOKUP($C68,MATRIX!$C$8:$C$128,MATRIX!F$8:F$128,)</f>
        <v>1_HIGH &lt;5 years</v>
      </c>
      <c r="G68" s="4" t="str">
        <f>_xlfn.XLOOKUP($C68,MATRIX!$C$8:$C$128,MATRIX!G$8:G$128,)</f>
        <v>WHOLE BUILDING</v>
      </c>
      <c r="H68" s="4" t="str">
        <f>_xlfn.XLOOKUP($C68,MATRIX!$C$8:$C$128,MATRIX!H$8:H$128,)</f>
        <v>ENVELOPE (EXT. WALLS)</v>
      </c>
      <c r="I68" s="4" t="str">
        <f>_xlfn.XLOOKUP($C68,MATRIX!$C$8:$C$128,MATRIX!I$8:I$128,)</f>
        <v>MODERATE</v>
      </c>
      <c r="J68" s="4" t="str">
        <f>_xlfn.XLOOKUP($C68,MATRIX!$C$8:$C$128,MATRIX!J$8:J$128,)</f>
        <v>MODERATE</v>
      </c>
      <c r="K68" s="4" t="str">
        <f>_xlfn.XLOOKUP($C68,MATRIX!$C$8:$C$128,MATRIX!K$8:K$128,)</f>
        <v>LOW</v>
      </c>
      <c r="L68" s="4" t="str">
        <f>_xlfn.XLOOKUP($C68,MATRIX!$C$8:$C$128,MATRIX!L$8:L$128,)</f>
        <v>$$$ HIGH</v>
      </c>
      <c r="M68" s="4" t="str">
        <f>_xlfn.XLOOKUP($C68,MATRIX!$C$8:$C$128,MATRIX!M$8:M$128,)</f>
        <v>MINIMAL IMPACT</v>
      </c>
      <c r="N68" s="4" t="str">
        <f>_xlfn.XLOOKUP($C68,MATRIX!$C$8:$C$128,MATRIX!N$8:N$128,)</f>
        <v>MINIMAL IMPACT</v>
      </c>
      <c r="O68" s="4" t="str">
        <f>_xlfn.XLOOKUP($C68,MATRIX!$C$8:$C$128,MATRIX!O$8:O$128,)</f>
        <v>N/A</v>
      </c>
      <c r="P68" s="4" t="str">
        <f>_xlfn.XLOOKUP($C68,MATRIX!$C$8:$C$128,MATRIX!P$8:P$128,)</f>
        <v>YES</v>
      </c>
      <c r="Q68" s="4" t="str">
        <f>_xlfn.XLOOKUP($C68,MATRIX!$C$8:$C$128,MATRIX!Q$8:Q$128,)</f>
        <v>NO</v>
      </c>
      <c r="R68" s="4" t="str">
        <f>_xlfn.XLOOKUP($C68,MATRIX!$C$8:$C$128,MATRIX!R$8:R$128,)</f>
        <v>NO</v>
      </c>
      <c r="S68" s="4" t="str">
        <f>_xlfn.XLOOKUP($C68,MATRIX!$C$8:$C$128,MATRIX!S$8:S$128,)</f>
        <v>NO</v>
      </c>
      <c r="T68" s="4" t="str">
        <f>_xlfn.XLOOKUP($C68,MATRIX!$C$8:$C$128,MATRIX!T$8:T$128,)</f>
        <v>YES</v>
      </c>
      <c r="U68" s="4"/>
      <c r="V68" s="4" t="str">
        <f>_xlfn.XLOOKUP($C68,MATRIX!$C$8:$C$128,MATRIX!V$8:V$128,)</f>
        <v>Insulation will only have impact on energy usage if impacts operation of HVAC equipment. SGH energy modeling on similar buildings show a energy usage change in the 5% range.</v>
      </c>
      <c r="W68" s="135" t="s">
        <v>457</v>
      </c>
    </row>
    <row r="69" spans="1:23" ht="43.5" outlineLevel="1" x14ac:dyDescent="0.35">
      <c r="A69" s="40"/>
      <c r="B69" s="4" t="str">
        <f>_xlfn.XLOOKUP($C69,MATRIX!$C$8:$C$128,MATRIX!B$8:B$128,)</f>
        <v>HISTORIC PRESERVATION</v>
      </c>
      <c r="C69" s="145" t="s">
        <v>297</v>
      </c>
      <c r="D69" s="4" t="str">
        <f>_xlfn.XLOOKUP($C69,MATRIX!$C$8:$C$128,MATRIX!D$8:D$128,)</f>
        <v>Exterior Masonry. Maintenance restoration campaign to include selective clean, repoint and repairs.</v>
      </c>
      <c r="E69" s="4" t="str">
        <f>_xlfn.XLOOKUP($C69,MATRIX!$C$8:$C$128,MATRIX!E$8:E$128,)</f>
        <v>DEFERRED MAINTENANCE</v>
      </c>
      <c r="F69" s="4" t="str">
        <f>_xlfn.XLOOKUP($C69,MATRIX!$C$8:$C$128,MATRIX!F$8:F$128,)</f>
        <v>1_HIGH &lt;5 years</v>
      </c>
      <c r="G69" s="4" t="str">
        <f>_xlfn.XLOOKUP($C69,MATRIX!$C$8:$C$128,MATRIX!G$8:G$128,)</f>
        <v>WHOLE BUILDING</v>
      </c>
      <c r="H69" s="4" t="str">
        <f>_xlfn.XLOOKUP($C69,MATRIX!$C$8:$C$128,MATRIX!H$8:H$128,)</f>
        <v>ENVELOPE (EXT. WALLS)</v>
      </c>
      <c r="I69" s="4" t="str">
        <f>_xlfn.XLOOKUP($C69,MATRIX!$C$8:$C$128,MATRIX!I$8:I$128,)</f>
        <v>MODERATE</v>
      </c>
      <c r="J69" s="4" t="str">
        <f>_xlfn.XLOOKUP($C69,MATRIX!$C$8:$C$128,MATRIX!J$8:J$128,)</f>
        <v>N/A</v>
      </c>
      <c r="K69" s="4" t="str">
        <f>_xlfn.XLOOKUP($C69,MATRIX!$C$8:$C$128,MATRIX!K$8:K$128,)</f>
        <v>LOW</v>
      </c>
      <c r="L69" s="4" t="str">
        <f>_xlfn.XLOOKUP($C69,MATRIX!$C$8:$C$128,MATRIX!L$8:L$128,)</f>
        <v>$$ MODERATE</v>
      </c>
      <c r="M69" s="4" t="str">
        <f>_xlfn.XLOOKUP($C69,MATRIX!$C$8:$C$128,MATRIX!M$8:M$128,)</f>
        <v>INCREASE</v>
      </c>
      <c r="N69" s="4" t="str">
        <f>_xlfn.XLOOKUP($C69,MATRIX!$C$8:$C$128,MATRIX!N$8:N$128,)</f>
        <v>N/A</v>
      </c>
      <c r="O69" s="4" t="str">
        <f>_xlfn.XLOOKUP($C69,MATRIX!$C$8:$C$128,MATRIX!O$8:O$128,)</f>
        <v>N/A</v>
      </c>
      <c r="P69" s="4" t="str">
        <f>_xlfn.XLOOKUP($C69,MATRIX!$C$8:$C$128,MATRIX!P$8:P$128,)</f>
        <v>NO</v>
      </c>
      <c r="Q69" s="4" t="str">
        <f>_xlfn.XLOOKUP($C69,MATRIX!$C$8:$C$128,MATRIX!Q$8:Q$128,)</f>
        <v>YES</v>
      </c>
      <c r="R69" s="4" t="str">
        <f>_xlfn.XLOOKUP($C69,MATRIX!$C$8:$C$128,MATRIX!R$8:R$128,)</f>
        <v>NO</v>
      </c>
      <c r="S69" s="4" t="str">
        <f>_xlfn.XLOOKUP($C69,MATRIX!$C$8:$C$128,MATRIX!S$8:S$128,)</f>
        <v>NO</v>
      </c>
      <c r="T69" s="4" t="str">
        <f>_xlfn.XLOOKUP($C69,MATRIX!$C$8:$C$128,MATRIX!T$8:T$128,)</f>
        <v>YES</v>
      </c>
      <c r="U69" s="4"/>
      <c r="V69" s="4" t="str">
        <f>_xlfn.XLOOKUP($C69,MATRIX!$C$8:$C$128,MATRIX!V$8:V$128,)</f>
        <v>Done as part of Dome work or as an immediate repair?</v>
      </c>
      <c r="W69" s="135" t="s">
        <v>430</v>
      </c>
    </row>
    <row r="70" spans="1:23" ht="362.5" outlineLevel="1" x14ac:dyDescent="0.35">
      <c r="A70" s="40"/>
      <c r="B70" s="4" t="str">
        <f>_xlfn.XLOOKUP($C70,MATRIX!$C$8:$C$128,MATRIX!B$8:B$128,)</f>
        <v>MECHANICAL</v>
      </c>
      <c r="C70" s="145" t="s">
        <v>340</v>
      </c>
      <c r="D70" s="4" t="str">
        <f>_xlfn.XLOOKUP($C70,MATRIX!$C$8:$C$128,MATRIX!D$8:D$128,)</f>
        <v xml:space="preserve">Provide mechanical ventilation to areas of the building that rely on natural ventilation or are currently unventilated. </v>
      </c>
      <c r="E70" s="4" t="str">
        <f>_xlfn.XLOOKUP($C70,MATRIX!$C$8:$C$128,MATRIX!E$8:E$128,)</f>
        <v>UPGRADES / IMPROVEMENTS</v>
      </c>
      <c r="F70" s="4" t="str">
        <f>_xlfn.XLOOKUP($C70,MATRIX!$C$8:$C$128,MATRIX!F$8:F$128,)</f>
        <v>2_MID 5-10 years</v>
      </c>
      <c r="G70" s="4" t="str">
        <f>_xlfn.XLOOKUP($C70,MATRIX!$C$8:$C$128,MATRIX!G$8:G$128,)</f>
        <v>WHOLE BUILDING</v>
      </c>
      <c r="H70" s="4" t="str">
        <f>_xlfn.XLOOKUP($C70,MATRIX!$C$8:$C$128,MATRIX!H$8:H$128,)</f>
        <v>WHOLE BUILDING</v>
      </c>
      <c r="I70" s="4" t="str">
        <f>_xlfn.XLOOKUP($C70,MATRIX!$C$8:$C$128,MATRIX!I$8:I$128,)</f>
        <v>HIGH</v>
      </c>
      <c r="J70" s="4" t="str">
        <f>_xlfn.XLOOKUP($C70,MATRIX!$C$8:$C$128,MATRIX!J$8:J$128,)</f>
        <v>HIGH</v>
      </c>
      <c r="K70" s="4" t="str">
        <f>_xlfn.XLOOKUP($C70,MATRIX!$C$8:$C$128,MATRIX!K$8:K$128,)</f>
        <v>N/A</v>
      </c>
      <c r="L70" s="4" t="str">
        <f>_xlfn.XLOOKUP($C70,MATRIX!$C$8:$C$128,MATRIX!L$8:L$128,)</f>
        <v>$$$ HIGH</v>
      </c>
      <c r="M70" s="4" t="str">
        <f>_xlfn.XLOOKUP($C70,MATRIX!$C$8:$C$128,MATRIX!M$8:M$128,)</f>
        <v>HIGH REDUCTION</v>
      </c>
      <c r="N70" s="4" t="str">
        <f>_xlfn.XLOOKUP($C70,MATRIX!$C$8:$C$128,MATRIX!N$8:N$128,)</f>
        <v>HIGH REDUCTION</v>
      </c>
      <c r="O70" s="4" t="str">
        <f>_xlfn.XLOOKUP($C70,MATRIX!$C$8:$C$128,MATRIX!O$8:O$128,)</f>
        <v>MODERATE</v>
      </c>
      <c r="P70" s="4" t="str">
        <f>_xlfn.XLOOKUP($C70,MATRIX!$C$8:$C$128,MATRIX!P$8:P$128,)</f>
        <v>YES</v>
      </c>
      <c r="Q70" s="4" t="str">
        <f>_xlfn.XLOOKUP($C70,MATRIX!$C$8:$C$128,MATRIX!Q$8:Q$128,)</f>
        <v>YES</v>
      </c>
      <c r="R70" s="4" t="str">
        <f>_xlfn.XLOOKUP($C70,MATRIX!$C$8:$C$128,MATRIX!R$8:R$128,)</f>
        <v>YES</v>
      </c>
      <c r="S70" s="4" t="str">
        <f>_xlfn.XLOOKUP($C70,MATRIX!$C$8:$C$128,MATRIX!S$8:S$128,)</f>
        <v>NO</v>
      </c>
      <c r="T70" s="4" t="str">
        <f>_xlfn.XLOOKUP($C70,MATRIX!$C$8:$C$128,MATRIX!T$8:T$128,)</f>
        <v>YES</v>
      </c>
      <c r="U70" s="4"/>
      <c r="V70" s="4" t="str">
        <f>_xlfn.XLOOKUP($C70,MATRIX!$C$8:$C$128,MATRIX!V$8:V$128,)</f>
        <v xml:space="preserve">Retrofitting mechanical ventilation is challenging.  The East Wing is a sensible starting point as the West Wing has demonstrated that it is possible.  Areas in the Annex will be harder but the potential impact is high. </v>
      </c>
      <c r="W70" s="135" t="s">
        <v>464</v>
      </c>
    </row>
    <row r="71" spans="1:23" x14ac:dyDescent="0.35">
      <c r="A71" s="40"/>
      <c r="B71" s="4"/>
      <c r="C71" s="145"/>
      <c r="D71" s="4"/>
      <c r="E71" s="4"/>
      <c r="F71" s="4"/>
      <c r="G71" s="4"/>
      <c r="H71" s="4"/>
      <c r="I71" s="4"/>
      <c r="J71" s="4"/>
      <c r="K71" s="4"/>
      <c r="L71" s="4"/>
      <c r="M71" s="4"/>
      <c r="N71" s="4"/>
      <c r="O71" s="4"/>
      <c r="P71" s="4"/>
      <c r="Q71" s="4"/>
      <c r="R71" s="4"/>
      <c r="S71" s="4"/>
      <c r="T71" s="4"/>
      <c r="U71" s="4"/>
      <c r="V71" s="4"/>
      <c r="W71" s="4"/>
    </row>
    <row r="72" spans="1:23" x14ac:dyDescent="0.35">
      <c r="A72" s="141" t="s">
        <v>469</v>
      </c>
      <c r="B72" s="141" t="s">
        <v>470</v>
      </c>
      <c r="C72" s="142"/>
      <c r="D72" s="143"/>
      <c r="E72" s="144"/>
      <c r="F72" s="144"/>
      <c r="G72" s="144"/>
      <c r="H72" s="144"/>
      <c r="I72" s="144"/>
      <c r="J72" s="144"/>
      <c r="K72" s="144"/>
      <c r="L72" s="144"/>
      <c r="M72" s="144"/>
      <c r="N72" s="144"/>
      <c r="O72" s="144"/>
      <c r="P72" s="144"/>
      <c r="Q72" s="144"/>
      <c r="R72" s="144"/>
      <c r="S72" s="144"/>
      <c r="T72" s="144"/>
      <c r="U72" s="144"/>
      <c r="V72" s="144"/>
      <c r="W72" s="143"/>
    </row>
    <row r="73" spans="1:23" ht="29" outlineLevel="1" x14ac:dyDescent="0.35">
      <c r="A73" s="40"/>
      <c r="B73" s="4" t="e">
        <f>_xlfn.XLOOKUP($C$47,MATRIX!$C$8:$C$128,MATRIX!B34:B154,)</f>
        <v>#N/A</v>
      </c>
      <c r="C73" s="145" t="s">
        <v>451</v>
      </c>
      <c r="D73" s="4" t="e">
        <f>_xlfn.XLOOKUP($C73,MATRIX!$C$8:$C$128,MATRIX!D$8:D$128,)</f>
        <v>#N/A</v>
      </c>
      <c r="E73" s="4" t="e">
        <f>_xlfn.XLOOKUP($C73,MATRIX!$C$8:$C$128,MATRIX!E$8:E$128,)</f>
        <v>#N/A</v>
      </c>
      <c r="F73" s="4" t="e">
        <f>_xlfn.XLOOKUP($C73,MATRIX!$C$8:$C$128,MATRIX!F$8:F$128,)</f>
        <v>#N/A</v>
      </c>
      <c r="G73" s="4" t="e">
        <f>_xlfn.XLOOKUP($C73,MATRIX!$C$8:$C$128,MATRIX!G$8:G$128,)</f>
        <v>#N/A</v>
      </c>
      <c r="H73" s="4" t="e">
        <f>_xlfn.XLOOKUP($C73,MATRIX!$C$8:$C$128,MATRIX!H$8:H$128,)</f>
        <v>#N/A</v>
      </c>
      <c r="I73" s="4" t="e">
        <f>_xlfn.XLOOKUP($C73,MATRIX!$C$8:$C$128,MATRIX!I$8:I$128,)</f>
        <v>#N/A</v>
      </c>
      <c r="J73" s="4" t="e">
        <f>_xlfn.XLOOKUP($C73,MATRIX!$C$8:$C$128,MATRIX!J$8:J$128,)</f>
        <v>#N/A</v>
      </c>
      <c r="K73" s="4" t="e">
        <f>_xlfn.XLOOKUP($C73,MATRIX!$C$8:$C$128,MATRIX!K$8:K$128,)</f>
        <v>#N/A</v>
      </c>
      <c r="L73" s="4" t="e">
        <f>_xlfn.XLOOKUP($C73,MATRIX!$C$8:$C$128,MATRIX!L$8:L$128,)</f>
        <v>#N/A</v>
      </c>
      <c r="M73" s="4" t="e">
        <f>_xlfn.XLOOKUP($C73,MATRIX!$C$8:$C$128,MATRIX!M$8:M$128,)</f>
        <v>#N/A</v>
      </c>
      <c r="N73" s="4" t="e">
        <f>_xlfn.XLOOKUP($C73,MATRIX!$C$8:$C$128,MATRIX!N$8:N$128,)</f>
        <v>#N/A</v>
      </c>
      <c r="O73" s="4" t="e">
        <f>_xlfn.XLOOKUP($C73,MATRIX!$C$8:$C$128,MATRIX!O$8:O$128,)</f>
        <v>#N/A</v>
      </c>
      <c r="P73" s="4" t="e">
        <f>_xlfn.XLOOKUP($C73,MATRIX!$C$8:$C$128,MATRIX!P$8:P$128,)</f>
        <v>#N/A</v>
      </c>
      <c r="Q73" s="4" t="e">
        <f>_xlfn.XLOOKUP($C73,MATRIX!$C$8:$C$128,MATRIX!Q$8:Q$128,)</f>
        <v>#N/A</v>
      </c>
      <c r="R73" s="4" t="e">
        <f>_xlfn.XLOOKUP($C73,MATRIX!$C$8:$C$128,MATRIX!R$8:R$128,)</f>
        <v>#N/A</v>
      </c>
      <c r="S73" s="4" t="e">
        <f>_xlfn.XLOOKUP($C73,MATRIX!$C$8:$C$128,MATRIX!S$8:S$128,)</f>
        <v>#N/A</v>
      </c>
      <c r="T73" s="4" t="e">
        <f>_xlfn.XLOOKUP($C73,MATRIX!$C$8:$C$128,MATRIX!T$8:T$128,)</f>
        <v>#N/A</v>
      </c>
      <c r="U73" s="4"/>
      <c r="V73" s="4" t="e">
        <f>_xlfn.XLOOKUP($C73,MATRIX!$C$8:$C$128,MATRIX!V$8:V$128,)</f>
        <v>#N/A</v>
      </c>
      <c r="W73" s="135" t="s">
        <v>471</v>
      </c>
    </row>
    <row r="74" spans="1:23" ht="29" outlineLevel="1" x14ac:dyDescent="0.35">
      <c r="A74" s="40"/>
      <c r="B74" s="4" t="e">
        <f>_xlfn.XLOOKUP($C74,MATRIX!$C$8:$C$128,MATRIX!B$8:B$128,)</f>
        <v>#N/A</v>
      </c>
      <c r="C74" s="145" t="s">
        <v>453</v>
      </c>
      <c r="D74" s="4" t="e">
        <f>_xlfn.XLOOKUP($C74,MATRIX!$C$8:$C$128,MATRIX!D$8:D$128,)</f>
        <v>#N/A</v>
      </c>
      <c r="E74" s="4" t="e">
        <f>_xlfn.XLOOKUP($C74,MATRIX!$C$8:$C$128,MATRIX!E$8:E$128,)</f>
        <v>#N/A</v>
      </c>
      <c r="F74" s="4" t="e">
        <f>_xlfn.XLOOKUP($C74,MATRIX!$C$8:$C$128,MATRIX!F$8:F$128,)</f>
        <v>#N/A</v>
      </c>
      <c r="G74" s="4" t="e">
        <f>_xlfn.XLOOKUP($C74,MATRIX!$C$8:$C$128,MATRIX!G$8:G$128,)</f>
        <v>#N/A</v>
      </c>
      <c r="H74" s="4" t="e">
        <f>_xlfn.XLOOKUP($C74,MATRIX!$C$8:$C$128,MATRIX!H$8:H$128,)</f>
        <v>#N/A</v>
      </c>
      <c r="I74" s="4" t="e">
        <f>_xlfn.XLOOKUP($C74,MATRIX!$C$8:$C$128,MATRIX!I$8:I$128,)</f>
        <v>#N/A</v>
      </c>
      <c r="J74" s="4" t="e">
        <f>_xlfn.XLOOKUP($C74,MATRIX!$C$8:$C$128,MATRIX!J$8:J$128,)</f>
        <v>#N/A</v>
      </c>
      <c r="K74" s="4" t="e">
        <f>_xlfn.XLOOKUP($C74,MATRIX!$C$8:$C$128,MATRIX!K$8:K$128,)</f>
        <v>#N/A</v>
      </c>
      <c r="L74" s="4" t="e">
        <f>_xlfn.XLOOKUP($C74,MATRIX!$C$8:$C$128,MATRIX!L$8:L$128,)</f>
        <v>#N/A</v>
      </c>
      <c r="M74" s="4" t="e">
        <f>_xlfn.XLOOKUP($C74,MATRIX!$C$8:$C$128,MATRIX!M$8:M$128,)</f>
        <v>#N/A</v>
      </c>
      <c r="N74" s="4" t="e">
        <f>_xlfn.XLOOKUP($C74,MATRIX!$C$8:$C$128,MATRIX!N$8:N$128,)</f>
        <v>#N/A</v>
      </c>
      <c r="O74" s="4" t="e">
        <f>_xlfn.XLOOKUP($C74,MATRIX!$C$8:$C$128,MATRIX!O$8:O$128,)</f>
        <v>#N/A</v>
      </c>
      <c r="P74" s="4" t="e">
        <f>_xlfn.XLOOKUP($C74,MATRIX!$C$8:$C$128,MATRIX!P$8:P$128,)</f>
        <v>#N/A</v>
      </c>
      <c r="Q74" s="4" t="e">
        <f>_xlfn.XLOOKUP($C74,MATRIX!$C$8:$C$128,MATRIX!Q$8:Q$128,)</f>
        <v>#N/A</v>
      </c>
      <c r="R74" s="4" t="e">
        <f>_xlfn.XLOOKUP($C74,MATRIX!$C$8:$C$128,MATRIX!R$8:R$128,)</f>
        <v>#N/A</v>
      </c>
      <c r="S74" s="4" t="e">
        <f>_xlfn.XLOOKUP($C74,MATRIX!$C$8:$C$128,MATRIX!S$8:S$128,)</f>
        <v>#N/A</v>
      </c>
      <c r="T74" s="4" t="e">
        <f>_xlfn.XLOOKUP($C74,MATRIX!$C$8:$C$128,MATRIX!T$8:T$128,)</f>
        <v>#N/A</v>
      </c>
      <c r="U74" s="4"/>
      <c r="V74" s="4" t="e">
        <f>_xlfn.XLOOKUP($C74,MATRIX!$C$8:$C$128,MATRIX!V$8:V$128,)</f>
        <v>#N/A</v>
      </c>
      <c r="W74" s="135" t="s">
        <v>472</v>
      </c>
    </row>
    <row r="75" spans="1:23" ht="43.5" outlineLevel="1" x14ac:dyDescent="0.35">
      <c r="A75" s="40"/>
      <c r="B75" s="4" t="str">
        <f>_xlfn.XLOOKUP($C75,MATRIX!$C$8:$C$128,MATRIX!B$8:B$128,)</f>
        <v>HISTORIC PRESERVATION</v>
      </c>
      <c r="C75" s="145" t="s">
        <v>297</v>
      </c>
      <c r="D75" s="4" t="str">
        <f>_xlfn.XLOOKUP($C75,MATRIX!$C$8:$C$128,MATRIX!D$8:D$128,)</f>
        <v>Exterior Masonry. Maintenance restoration campaign to include selective clean, repoint and repairs.</v>
      </c>
      <c r="E75" s="4" t="str">
        <f>_xlfn.XLOOKUP($C75,MATRIX!$C$8:$C$128,MATRIX!E$8:E$128,)</f>
        <v>DEFERRED MAINTENANCE</v>
      </c>
      <c r="F75" s="4" t="str">
        <f>_xlfn.XLOOKUP($C75,MATRIX!$C$8:$C$128,MATRIX!F$8:F$128,)</f>
        <v>1_HIGH &lt;5 years</v>
      </c>
      <c r="G75" s="4" t="str">
        <f>_xlfn.XLOOKUP($C75,MATRIX!$C$8:$C$128,MATRIX!G$8:G$128,)</f>
        <v>WHOLE BUILDING</v>
      </c>
      <c r="H75" s="4" t="str">
        <f>_xlfn.XLOOKUP($C75,MATRIX!$C$8:$C$128,MATRIX!H$8:H$128,)</f>
        <v>ENVELOPE (EXT. WALLS)</v>
      </c>
      <c r="I75" s="4" t="str">
        <f>_xlfn.XLOOKUP($C75,MATRIX!$C$8:$C$128,MATRIX!I$8:I$128,)</f>
        <v>MODERATE</v>
      </c>
      <c r="J75" s="4" t="str">
        <f>_xlfn.XLOOKUP($C75,MATRIX!$C$8:$C$128,MATRIX!J$8:J$128,)</f>
        <v>N/A</v>
      </c>
      <c r="K75" s="4" t="str">
        <f>_xlfn.XLOOKUP($C75,MATRIX!$C$8:$C$128,MATRIX!K$8:K$128,)</f>
        <v>LOW</v>
      </c>
      <c r="L75" s="4" t="str">
        <f>_xlfn.XLOOKUP($C75,MATRIX!$C$8:$C$128,MATRIX!L$8:L$128,)</f>
        <v>$$ MODERATE</v>
      </c>
      <c r="M75" s="4" t="str">
        <f>_xlfn.XLOOKUP($C75,MATRIX!$C$8:$C$128,MATRIX!M$8:M$128,)</f>
        <v>INCREASE</v>
      </c>
      <c r="N75" s="4" t="str">
        <f>_xlfn.XLOOKUP($C75,MATRIX!$C$8:$C$128,MATRIX!N$8:N$128,)</f>
        <v>N/A</v>
      </c>
      <c r="O75" s="4" t="str">
        <f>_xlfn.XLOOKUP($C75,MATRIX!$C$8:$C$128,MATRIX!O$8:O$128,)</f>
        <v>N/A</v>
      </c>
      <c r="P75" s="4" t="str">
        <f>_xlfn.XLOOKUP($C75,MATRIX!$C$8:$C$128,MATRIX!P$8:P$128,)</f>
        <v>NO</v>
      </c>
      <c r="Q75" s="4" t="str">
        <f>_xlfn.XLOOKUP($C75,MATRIX!$C$8:$C$128,MATRIX!Q$8:Q$128,)</f>
        <v>YES</v>
      </c>
      <c r="R75" s="4" t="str">
        <f>_xlfn.XLOOKUP($C75,MATRIX!$C$8:$C$128,MATRIX!R$8:R$128,)</f>
        <v>NO</v>
      </c>
      <c r="S75" s="4" t="str">
        <f>_xlfn.XLOOKUP($C75,MATRIX!$C$8:$C$128,MATRIX!S$8:S$128,)</f>
        <v>NO</v>
      </c>
      <c r="T75" s="4" t="str">
        <f>_xlfn.XLOOKUP($C75,MATRIX!$C$8:$C$128,MATRIX!T$8:T$128,)</f>
        <v>YES</v>
      </c>
      <c r="U75" s="4"/>
      <c r="V75" s="4" t="str">
        <f>_xlfn.XLOOKUP($C75,MATRIX!$C$8:$C$128,MATRIX!V$8:V$128,)</f>
        <v>Done as part of Dome work or as an immediate repair?</v>
      </c>
      <c r="W75" s="135" t="s">
        <v>430</v>
      </c>
    </row>
    <row r="76" spans="1:23" ht="362.5" outlineLevel="1" x14ac:dyDescent="0.35">
      <c r="A76" s="40"/>
      <c r="B76" s="4" t="str">
        <f>_xlfn.XLOOKUP($C76,MATRIX!$C$8:$C$128,MATRIX!B$8:B$128,)</f>
        <v>MECHANICAL</v>
      </c>
      <c r="C76" s="145" t="s">
        <v>340</v>
      </c>
      <c r="D76" s="4" t="str">
        <f>_xlfn.XLOOKUP($C76,MATRIX!$C$8:$C$128,MATRIX!D$8:D$128,)</f>
        <v xml:space="preserve">Provide mechanical ventilation to areas of the building that rely on natural ventilation or are currently unventilated. </v>
      </c>
      <c r="E76" s="4" t="str">
        <f>_xlfn.XLOOKUP($C76,MATRIX!$C$8:$C$128,MATRIX!E$8:E$128,)</f>
        <v>UPGRADES / IMPROVEMENTS</v>
      </c>
      <c r="F76" s="4" t="str">
        <f>_xlfn.XLOOKUP($C76,MATRIX!$C$8:$C$128,MATRIX!F$8:F$128,)</f>
        <v>2_MID 5-10 years</v>
      </c>
      <c r="G76" s="4" t="str">
        <f>_xlfn.XLOOKUP($C76,MATRIX!$C$8:$C$128,MATRIX!G$8:G$128,)</f>
        <v>WHOLE BUILDING</v>
      </c>
      <c r="H76" s="4" t="str">
        <f>_xlfn.XLOOKUP($C76,MATRIX!$C$8:$C$128,MATRIX!H$8:H$128,)</f>
        <v>WHOLE BUILDING</v>
      </c>
      <c r="I76" s="4" t="str">
        <f>_xlfn.XLOOKUP($C76,MATRIX!$C$8:$C$128,MATRIX!I$8:I$128,)</f>
        <v>HIGH</v>
      </c>
      <c r="J76" s="4" t="str">
        <f>_xlfn.XLOOKUP($C76,MATRIX!$C$8:$C$128,MATRIX!J$8:J$128,)</f>
        <v>HIGH</v>
      </c>
      <c r="K76" s="4" t="str">
        <f>_xlfn.XLOOKUP($C76,MATRIX!$C$8:$C$128,MATRIX!K$8:K$128,)</f>
        <v>N/A</v>
      </c>
      <c r="L76" s="4" t="str">
        <f>_xlfn.XLOOKUP($C76,MATRIX!$C$8:$C$128,MATRIX!L$8:L$128,)</f>
        <v>$$$ HIGH</v>
      </c>
      <c r="M76" s="4" t="str">
        <f>_xlfn.XLOOKUP($C76,MATRIX!$C$8:$C$128,MATRIX!M$8:M$128,)</f>
        <v>HIGH REDUCTION</v>
      </c>
      <c r="N76" s="4" t="str">
        <f>_xlfn.XLOOKUP($C76,MATRIX!$C$8:$C$128,MATRIX!N$8:N$128,)</f>
        <v>HIGH REDUCTION</v>
      </c>
      <c r="O76" s="4" t="str">
        <f>_xlfn.XLOOKUP($C76,MATRIX!$C$8:$C$128,MATRIX!O$8:O$128,)</f>
        <v>MODERATE</v>
      </c>
      <c r="P76" s="4" t="str">
        <f>_xlfn.XLOOKUP($C76,MATRIX!$C$8:$C$128,MATRIX!P$8:P$128,)</f>
        <v>YES</v>
      </c>
      <c r="Q76" s="4" t="str">
        <f>_xlfn.XLOOKUP($C76,MATRIX!$C$8:$C$128,MATRIX!Q$8:Q$128,)</f>
        <v>YES</v>
      </c>
      <c r="R76" s="4" t="str">
        <f>_xlfn.XLOOKUP($C76,MATRIX!$C$8:$C$128,MATRIX!R$8:R$128,)</f>
        <v>YES</v>
      </c>
      <c r="S76" s="4" t="str">
        <f>_xlfn.XLOOKUP($C76,MATRIX!$C$8:$C$128,MATRIX!S$8:S$128,)</f>
        <v>NO</v>
      </c>
      <c r="T76" s="4" t="str">
        <f>_xlfn.XLOOKUP($C76,MATRIX!$C$8:$C$128,MATRIX!T$8:T$128,)</f>
        <v>YES</v>
      </c>
      <c r="U76" s="4"/>
      <c r="V76" s="4" t="str">
        <f>_xlfn.XLOOKUP($C76,MATRIX!$C$8:$C$128,MATRIX!V$8:V$128,)</f>
        <v xml:space="preserve">Retrofitting mechanical ventilation is challenging.  The East Wing is a sensible starting point as the West Wing has demonstrated that it is possible.  Areas in the Annex will be harder but the potential impact is high. </v>
      </c>
      <c r="W76" s="135" t="s">
        <v>464</v>
      </c>
    </row>
    <row r="77" spans="1:23" x14ac:dyDescent="0.35">
      <c r="A77" s="40"/>
      <c r="B77" s="4"/>
      <c r="C77" s="145"/>
      <c r="D77" s="4"/>
      <c r="E77" s="4"/>
      <c r="F77" s="4"/>
      <c r="G77" s="4"/>
      <c r="H77" s="4"/>
      <c r="I77" s="4"/>
      <c r="J77" s="4"/>
      <c r="K77" s="4"/>
      <c r="L77" s="4"/>
      <c r="M77" s="4"/>
      <c r="N77" s="4"/>
      <c r="O77" s="4"/>
      <c r="P77" s="4"/>
      <c r="Q77" s="4"/>
      <c r="R77" s="4"/>
      <c r="S77" s="4"/>
      <c r="T77" s="4"/>
      <c r="U77" s="4"/>
      <c r="V77" s="4"/>
      <c r="W77" s="4"/>
    </row>
    <row r="78" spans="1:23" x14ac:dyDescent="0.35">
      <c r="A78" s="141" t="s">
        <v>473</v>
      </c>
      <c r="B78" s="141" t="s">
        <v>474</v>
      </c>
      <c r="C78" s="142"/>
      <c r="D78" s="143"/>
      <c r="E78" s="144"/>
      <c r="F78" s="144"/>
      <c r="G78" s="144"/>
      <c r="H78" s="144"/>
      <c r="I78" s="144"/>
      <c r="J78" s="144"/>
      <c r="K78" s="144"/>
      <c r="L78" s="144"/>
      <c r="M78" s="144"/>
      <c r="N78" s="144"/>
      <c r="O78" s="144"/>
      <c r="P78" s="144"/>
      <c r="Q78" s="144"/>
      <c r="R78" s="144"/>
      <c r="S78" s="144"/>
      <c r="T78" s="144"/>
      <c r="U78" s="144"/>
      <c r="V78" s="144"/>
      <c r="W78" s="143"/>
    </row>
    <row r="79" spans="1:23" ht="130.5" x14ac:dyDescent="0.35">
      <c r="A79" s="40"/>
      <c r="B79" s="4" t="str">
        <f>_xlfn.XLOOKUP($C79,MATRIX!$C$8:$C$128,MATRIX!B$8:B$128,)</f>
        <v>MECHANICAL</v>
      </c>
      <c r="C79" s="145" t="s">
        <v>349</v>
      </c>
      <c r="D79" s="4" t="str">
        <f>_xlfn.XLOOKUP($C79,MATRIX!$C$8:$C$128,MATRIX!D$8:D$128,)</f>
        <v>Heat Recovery on toilet exhaust system</v>
      </c>
      <c r="E79" s="4" t="str">
        <f>_xlfn.XLOOKUP($C79,MATRIX!$C$8:$C$128,MATRIX!E$8:E$128,)</f>
        <v>UPGRADES / IMPROVEMENTS</v>
      </c>
      <c r="F79" s="4" t="str">
        <f>_xlfn.XLOOKUP($C79,MATRIX!$C$8:$C$128,MATRIX!F$8:F$128,)</f>
        <v>2_MID 5-10 years</v>
      </c>
      <c r="G79" s="4" t="str">
        <f>_xlfn.XLOOKUP($C79,MATRIX!$C$8:$C$128,MATRIX!G$8:G$128,)</f>
        <v>WHOLE BUILDING</v>
      </c>
      <c r="H79" s="4" t="str">
        <f>_xlfn.XLOOKUP($C79,MATRIX!$C$8:$C$128,MATRIX!H$8:H$128,)</f>
        <v>WHOLE BUILDING</v>
      </c>
      <c r="I79" s="4" t="str">
        <f>_xlfn.XLOOKUP($C79,MATRIX!$C$8:$C$128,MATRIX!I$8:I$128,)</f>
        <v>MODERATE</v>
      </c>
      <c r="J79" s="4" t="str">
        <f>_xlfn.XLOOKUP($C79,MATRIX!$C$8:$C$128,MATRIX!J$8:J$128,)</f>
        <v>N/A</v>
      </c>
      <c r="K79" s="4" t="str">
        <f>_xlfn.XLOOKUP($C79,MATRIX!$C$8:$C$128,MATRIX!K$8:K$128,)</f>
        <v>N/A</v>
      </c>
      <c r="L79" s="4" t="str">
        <f>_xlfn.XLOOKUP($C79,MATRIX!$C$8:$C$128,MATRIX!L$8:L$128,)</f>
        <v>$$ MODERATE</v>
      </c>
      <c r="M79" s="4" t="str">
        <f>_xlfn.XLOOKUP($C79,MATRIX!$C$8:$C$128,MATRIX!M$8:M$128,)</f>
        <v>MODERATE REDUCTION</v>
      </c>
      <c r="N79" s="4" t="str">
        <f>_xlfn.XLOOKUP($C79,MATRIX!$C$8:$C$128,MATRIX!N$8:N$128,)</f>
        <v>MODERATE REDUCTION</v>
      </c>
      <c r="O79" s="4" t="str">
        <f>_xlfn.XLOOKUP($C79,MATRIX!$C$8:$C$128,MATRIX!O$8:O$128,)</f>
        <v>LOW</v>
      </c>
      <c r="P79" s="4" t="str">
        <f>_xlfn.XLOOKUP($C79,MATRIX!$C$8:$C$128,MATRIX!P$8:P$128,)</f>
        <v>YES</v>
      </c>
      <c r="Q79" s="4" t="str">
        <f>_xlfn.XLOOKUP($C79,MATRIX!$C$8:$C$128,MATRIX!Q$8:Q$128,)</f>
        <v>NO</v>
      </c>
      <c r="R79" s="4" t="str">
        <f>_xlfn.XLOOKUP($C79,MATRIX!$C$8:$C$128,MATRIX!R$8:R$128,)</f>
        <v>NO</v>
      </c>
      <c r="S79" s="4" t="str">
        <f>_xlfn.XLOOKUP($C79,MATRIX!$C$8:$C$128,MATRIX!S$8:S$128,)</f>
        <v>NO</v>
      </c>
      <c r="T79" s="4" t="str">
        <f>_xlfn.XLOOKUP($C79,MATRIX!$C$8:$C$128,MATRIX!T$8:T$128,)</f>
        <v>NO</v>
      </c>
      <c r="U79" s="4"/>
      <c r="V79" s="4">
        <f>_xlfn.XLOOKUP($C79,MATRIX!$C$8:$C$128,MATRIX!V$8:V$128,)</f>
        <v>0</v>
      </c>
      <c r="W79" s="135" t="s">
        <v>475</v>
      </c>
    </row>
    <row r="80" spans="1:23" x14ac:dyDescent="0.35">
      <c r="A80" s="40"/>
      <c r="B80" s="4"/>
      <c r="C80" s="145"/>
      <c r="D80" s="4"/>
      <c r="E80" s="4"/>
      <c r="F80" s="4"/>
      <c r="G80" s="4"/>
      <c r="H80" s="4"/>
      <c r="I80" s="4"/>
      <c r="J80" s="4"/>
      <c r="K80" s="4"/>
      <c r="L80" s="4"/>
      <c r="M80" s="4"/>
      <c r="N80" s="4"/>
      <c r="O80" s="4"/>
      <c r="P80" s="4"/>
      <c r="Q80" s="4"/>
      <c r="R80" s="4"/>
      <c r="S80" s="4"/>
      <c r="T80" s="4"/>
      <c r="U80" s="4"/>
      <c r="V80" s="4"/>
      <c r="W80" s="4"/>
    </row>
    <row r="81" spans="1:23" x14ac:dyDescent="0.35">
      <c r="A81" s="141" t="s">
        <v>476</v>
      </c>
      <c r="B81" s="141" t="s">
        <v>477</v>
      </c>
      <c r="C81" s="142"/>
      <c r="D81" s="143"/>
      <c r="E81" s="144"/>
      <c r="F81" s="144"/>
      <c r="G81" s="144"/>
      <c r="H81" s="144"/>
      <c r="I81" s="144"/>
      <c r="J81" s="144"/>
      <c r="K81" s="144"/>
      <c r="L81" s="144"/>
      <c r="M81" s="144"/>
      <c r="N81" s="144"/>
      <c r="O81" s="144"/>
      <c r="P81" s="144"/>
      <c r="Q81" s="144"/>
      <c r="R81" s="144"/>
      <c r="S81" s="144"/>
      <c r="T81" s="144"/>
      <c r="U81" s="144"/>
      <c r="V81" s="144"/>
      <c r="W81" s="143"/>
    </row>
    <row r="82" spans="1:23" ht="116" x14ac:dyDescent="0.35">
      <c r="A82" s="40"/>
      <c r="B82" s="4" t="str">
        <f>_xlfn.XLOOKUP($C82,MATRIX!$C$8:$C$128,MATRIX!B$8:B$128,)</f>
        <v>MECHANICAL</v>
      </c>
      <c r="C82" s="145" t="s">
        <v>343</v>
      </c>
      <c r="D82" s="4" t="str">
        <f>_xlfn.XLOOKUP($C82,MATRIX!$C$8:$C$128,MATRIX!D$8:D$128,)</f>
        <v>Consider boiler end of life and possible transition to heat pump/electric heating.</v>
      </c>
      <c r="E82" s="4" t="str">
        <f>_xlfn.XLOOKUP($C82,MATRIX!$C$8:$C$128,MATRIX!E$8:E$128,)</f>
        <v>UPGRADES / IMPROVEMENTS</v>
      </c>
      <c r="F82" s="4" t="str">
        <f>_xlfn.XLOOKUP($C82,MATRIX!$C$8:$C$128,MATRIX!F$8:F$128,)</f>
        <v>3_LOW 10-20 years</v>
      </c>
      <c r="G82" s="4" t="str">
        <f>_xlfn.XLOOKUP($C82,MATRIX!$C$8:$C$128,MATRIX!G$8:G$128,)</f>
        <v>WHOLE BUILDING</v>
      </c>
      <c r="H82" s="4" t="str">
        <f>_xlfn.XLOOKUP($C82,MATRIX!$C$8:$C$128,MATRIX!H$8:H$128,)</f>
        <v>WHOLE BUILDING</v>
      </c>
      <c r="I82" s="4" t="str">
        <f>_xlfn.XLOOKUP($C82,MATRIX!$C$8:$C$128,MATRIX!I$8:I$128,)</f>
        <v>HIGH</v>
      </c>
      <c r="J82" s="4" t="str">
        <f>_xlfn.XLOOKUP($C82,MATRIX!$C$8:$C$128,MATRIX!J$8:J$128,)</f>
        <v>HIGH</v>
      </c>
      <c r="K82" s="4" t="str">
        <f>_xlfn.XLOOKUP($C82,MATRIX!$C$8:$C$128,MATRIX!K$8:K$128,)</f>
        <v>N/A</v>
      </c>
      <c r="L82" s="4" t="str">
        <f>_xlfn.XLOOKUP($C82,MATRIX!$C$8:$C$128,MATRIX!L$8:L$128,)</f>
        <v>$$$ HIGH</v>
      </c>
      <c r="M82" s="4" t="str">
        <f>_xlfn.XLOOKUP($C82,MATRIX!$C$8:$C$128,MATRIX!M$8:M$128,)</f>
        <v>MODERATE REDUCTION</v>
      </c>
      <c r="N82" s="4" t="str">
        <f>_xlfn.XLOOKUP($C82,MATRIX!$C$8:$C$128,MATRIX!N$8:N$128,)</f>
        <v>HIGH REDUCTION</v>
      </c>
      <c r="O82" s="4" t="str">
        <f>_xlfn.XLOOKUP($C82,MATRIX!$C$8:$C$128,MATRIX!O$8:O$128,)</f>
        <v>HIGH</v>
      </c>
      <c r="P82" s="4" t="str">
        <f>_xlfn.XLOOKUP($C82,MATRIX!$C$8:$C$128,MATRIX!P$8:P$128,)</f>
        <v>YES</v>
      </c>
      <c r="Q82" s="4" t="str">
        <f>_xlfn.XLOOKUP($C82,MATRIX!$C$8:$C$128,MATRIX!Q$8:Q$128,)</f>
        <v>YES</v>
      </c>
      <c r="R82" s="4" t="str">
        <f>_xlfn.XLOOKUP($C82,MATRIX!$C$8:$C$128,MATRIX!R$8:R$128,)</f>
        <v>YES</v>
      </c>
      <c r="S82" s="4" t="str">
        <f>_xlfn.XLOOKUP($C82,MATRIX!$C$8:$C$128,MATRIX!S$8:S$128,)</f>
        <v>NO</v>
      </c>
      <c r="T82" s="4" t="str">
        <f>_xlfn.XLOOKUP($C82,MATRIX!$C$8:$C$128,MATRIX!T$8:T$128,)</f>
        <v>YES</v>
      </c>
      <c r="U82" s="4"/>
      <c r="V82" s="4" t="str">
        <f>_xlfn.XLOOKUP($C82,MATRIX!$C$8:$C$128,MATRIX!V$8:V$128,)</f>
        <v xml:space="preserve">Electrification is essential to move away from fossil fuels.  A transition to air or ground source heat pump system should be considered as the current gas fired boilers approach end of life.  </v>
      </c>
      <c r="W82" s="135" t="s">
        <v>478</v>
      </c>
    </row>
    <row r="83" spans="1:23" x14ac:dyDescent="0.35">
      <c r="A83" s="40"/>
      <c r="B83" s="40"/>
      <c r="C83" s="145"/>
      <c r="D83" s="40"/>
      <c r="E83" s="40"/>
      <c r="F83" s="40"/>
      <c r="G83" s="40"/>
      <c r="H83" s="40"/>
      <c r="I83" s="40"/>
      <c r="J83" s="40"/>
      <c r="K83" s="40"/>
      <c r="L83" s="40"/>
      <c r="M83" s="40"/>
      <c r="N83" s="40"/>
      <c r="O83" s="40"/>
      <c r="P83" s="40"/>
      <c r="Q83" s="40"/>
      <c r="R83" s="40"/>
      <c r="S83" s="40"/>
      <c r="T83" s="40"/>
      <c r="U83" s="40"/>
      <c r="V83" s="40"/>
      <c r="W83" s="4"/>
    </row>
    <row r="84" spans="1:23" x14ac:dyDescent="0.35">
      <c r="A84" s="40"/>
      <c r="B84" s="40"/>
      <c r="C84" s="145"/>
      <c r="D84" s="40"/>
      <c r="E84" s="40"/>
      <c r="F84" s="40"/>
      <c r="G84" s="40"/>
      <c r="H84" s="40"/>
      <c r="I84" s="40"/>
      <c r="J84" s="40"/>
      <c r="K84" s="40"/>
      <c r="L84" s="40"/>
      <c r="M84" s="40"/>
      <c r="N84" s="40"/>
      <c r="O84" s="40"/>
      <c r="P84" s="40"/>
      <c r="Q84" s="40"/>
      <c r="R84" s="40"/>
      <c r="S84" s="40"/>
      <c r="T84" s="40"/>
      <c r="U84" s="40"/>
      <c r="V84" s="40"/>
      <c r="W84" s="4"/>
    </row>
    <row r="85" spans="1:23" x14ac:dyDescent="0.35">
      <c r="A85" s="141" t="s">
        <v>479</v>
      </c>
      <c r="B85" s="141" t="s">
        <v>480</v>
      </c>
      <c r="C85" s="142"/>
      <c r="D85" s="143"/>
      <c r="E85" s="144"/>
      <c r="F85" s="144"/>
      <c r="G85" s="144"/>
      <c r="H85" s="144"/>
      <c r="I85" s="144"/>
      <c r="J85" s="144"/>
      <c r="K85" s="144"/>
      <c r="L85" s="144"/>
      <c r="M85" s="144"/>
      <c r="N85" s="144"/>
      <c r="O85" s="144"/>
      <c r="P85" s="144"/>
      <c r="Q85" s="144"/>
      <c r="R85" s="144"/>
      <c r="S85" s="144"/>
      <c r="T85" s="144"/>
      <c r="U85" s="144"/>
      <c r="V85" s="144"/>
      <c r="W85" s="143"/>
    </row>
    <row r="86" spans="1:23" ht="174" x14ac:dyDescent="0.35">
      <c r="A86" s="40"/>
      <c r="B86" s="4" t="str">
        <f>_xlfn.XLOOKUP($C86,MATRIX!$C$8:$C$128,MATRIX!B$8:B$128,)</f>
        <v>MECHANICAL</v>
      </c>
      <c r="C86" s="145" t="s">
        <v>326</v>
      </c>
      <c r="D86" s="4" t="str">
        <f>_xlfn.XLOOKUP($C86,MATRIX!$C$8:$C$128,MATRIX!D$8:D$128,)</f>
        <v xml:space="preserve">Deferred maintenance, pipe and duct insulation repair and upgrades.  Repair and replacement to toilet extract systems. </v>
      </c>
      <c r="E86" s="4" t="str">
        <f>_xlfn.XLOOKUP($C86,MATRIX!$C$8:$C$128,MATRIX!E$8:E$128,)</f>
        <v>DEFERRED MAINTENANCE</v>
      </c>
      <c r="F86" s="4" t="str">
        <f>_xlfn.XLOOKUP($C86,MATRIX!$C$8:$C$128,MATRIX!F$8:F$128,)</f>
        <v>1_HIGH &lt;5 years</v>
      </c>
      <c r="G86" s="4" t="str">
        <f>_xlfn.XLOOKUP($C86,MATRIX!$C$8:$C$128,MATRIX!G$8:G$128,)</f>
        <v>WHOLE BUILDING</v>
      </c>
      <c r="H86" s="4" t="str">
        <f>_xlfn.XLOOKUP($C86,MATRIX!$C$8:$C$128,MATRIX!H$8:H$128,)</f>
        <v>WHOLE BUILDING</v>
      </c>
      <c r="I86" s="4" t="str">
        <f>_xlfn.XLOOKUP($C86,MATRIX!$C$8:$C$128,MATRIX!I$8:I$128,)</f>
        <v>LOW</v>
      </c>
      <c r="J86" s="4" t="str">
        <f>_xlfn.XLOOKUP($C86,MATRIX!$C$8:$C$128,MATRIX!J$8:J$128,)</f>
        <v>MODERATE</v>
      </c>
      <c r="K86" s="4" t="str">
        <f>_xlfn.XLOOKUP($C86,MATRIX!$C$8:$C$128,MATRIX!K$8:K$128,)</f>
        <v>N/A</v>
      </c>
      <c r="L86" s="4" t="str">
        <f>_xlfn.XLOOKUP($C86,MATRIX!$C$8:$C$128,MATRIX!L$8:L$128,)</f>
        <v>$ LOW</v>
      </c>
      <c r="M86" s="4" t="str">
        <f>_xlfn.XLOOKUP($C86,MATRIX!$C$8:$C$128,MATRIX!M$8:M$128,)</f>
        <v>MODERATE REDUCTION</v>
      </c>
      <c r="N86" s="4" t="str">
        <f>_xlfn.XLOOKUP($C86,MATRIX!$C$8:$C$128,MATRIX!N$8:N$128,)</f>
        <v>MODERATE REDUCTION</v>
      </c>
      <c r="O86" s="4" t="str">
        <f>_xlfn.XLOOKUP($C86,MATRIX!$C$8:$C$128,MATRIX!O$8:O$128,)</f>
        <v>LOW</v>
      </c>
      <c r="P86" s="4" t="str">
        <f>_xlfn.XLOOKUP($C86,MATRIX!$C$8:$C$128,MATRIX!P$8:P$128,)</f>
        <v>YES</v>
      </c>
      <c r="Q86" s="4" t="str">
        <f>_xlfn.XLOOKUP($C86,MATRIX!$C$8:$C$128,MATRIX!Q$8:Q$128,)</f>
        <v>YES</v>
      </c>
      <c r="R86" s="4" t="str">
        <f>_xlfn.XLOOKUP($C86,MATRIX!$C$8:$C$128,MATRIX!R$8:R$128,)</f>
        <v>YES</v>
      </c>
      <c r="S86" s="4" t="str">
        <f>_xlfn.XLOOKUP($C86,MATRIX!$C$8:$C$128,MATRIX!S$8:S$128,)</f>
        <v>NO</v>
      </c>
      <c r="T86" s="4" t="str">
        <f>_xlfn.XLOOKUP($C86,MATRIX!$C$8:$C$128,MATRIX!T$8:T$128,)</f>
        <v>NO</v>
      </c>
      <c r="U86" s="4"/>
      <c r="V86" s="4" t="str">
        <f>_xlfn.XLOOKUP($C86,MATRIX!$C$8:$C$128,MATRIX!V$8:V$128,)</f>
        <v xml:space="preserve">Item covers several "simple" maintenance/upgrade tasks that will improve existing systems. </v>
      </c>
      <c r="W86" s="147" t="s">
        <v>481</v>
      </c>
    </row>
    <row r="87" spans="1:23" ht="130.5" x14ac:dyDescent="0.35">
      <c r="A87" s="40"/>
      <c r="B87" s="4" t="str">
        <f>_xlfn.XLOOKUP($C87,MATRIX!$C$8:$C$128,MATRIX!B$8:B$128,)</f>
        <v>MECHANICAL</v>
      </c>
      <c r="C87" s="145" t="s">
        <v>333</v>
      </c>
      <c r="D87" s="4" t="str">
        <f>_xlfn.XLOOKUP($C87,MATRIX!$C$8:$C$128,MATRIX!D$8:D$128,)</f>
        <v xml:space="preserve">Phased pipework replacement and continued water quality monitoring and improvement. </v>
      </c>
      <c r="E87" s="4" t="str">
        <f>_xlfn.XLOOKUP($C87,MATRIX!$C$8:$C$128,MATRIX!E$8:E$128,)</f>
        <v>DEFERRED MAINTENANCE</v>
      </c>
      <c r="F87" s="4" t="str">
        <f>_xlfn.XLOOKUP($C87,MATRIX!$C$8:$C$128,MATRIX!F$8:F$128,)</f>
        <v>1_HIGH &lt;5 years</v>
      </c>
      <c r="G87" s="4" t="str">
        <f>_xlfn.XLOOKUP($C87,MATRIX!$C$8:$C$128,MATRIX!G$8:G$128,)</f>
        <v>WHOLE BUILDING</v>
      </c>
      <c r="H87" s="4" t="str">
        <f>_xlfn.XLOOKUP($C87,MATRIX!$C$8:$C$128,MATRIX!H$8:H$128,)</f>
        <v>WHOLE BUILDING</v>
      </c>
      <c r="I87" s="4" t="str">
        <f>_xlfn.XLOOKUP($C87,MATRIX!$C$8:$C$128,MATRIX!I$8:I$128,)</f>
        <v>HIGH</v>
      </c>
      <c r="J87" s="4" t="str">
        <f>_xlfn.XLOOKUP($C87,MATRIX!$C$8:$C$128,MATRIX!J$8:J$128,)</f>
        <v>HIGH</v>
      </c>
      <c r="K87" s="4" t="str">
        <f>_xlfn.XLOOKUP($C87,MATRIX!$C$8:$C$128,MATRIX!K$8:K$128,)</f>
        <v>N/A</v>
      </c>
      <c r="L87" s="4" t="str">
        <f>_xlfn.XLOOKUP($C87,MATRIX!$C$8:$C$128,MATRIX!L$8:L$128,)</f>
        <v>$$ MODERATE</v>
      </c>
      <c r="M87" s="4" t="str">
        <f>_xlfn.XLOOKUP($C87,MATRIX!$C$8:$C$128,MATRIX!M$8:M$128,)</f>
        <v>MODERATE REDUCTION</v>
      </c>
      <c r="N87" s="4" t="str">
        <f>_xlfn.XLOOKUP($C87,MATRIX!$C$8:$C$128,MATRIX!N$8:N$128,)</f>
        <v>MODERATE REDUCTION</v>
      </c>
      <c r="O87" s="4" t="str">
        <f>_xlfn.XLOOKUP($C87,MATRIX!$C$8:$C$128,MATRIX!O$8:O$128,)</f>
        <v>LOW</v>
      </c>
      <c r="P87" s="4" t="str">
        <f>_xlfn.XLOOKUP($C87,MATRIX!$C$8:$C$128,MATRIX!P$8:P$128,)</f>
        <v>YES</v>
      </c>
      <c r="Q87" s="4" t="str">
        <f>_xlfn.XLOOKUP($C87,MATRIX!$C$8:$C$128,MATRIX!Q$8:Q$128,)</f>
        <v>YES</v>
      </c>
      <c r="R87" s="4" t="str">
        <f>_xlfn.XLOOKUP($C87,MATRIX!$C$8:$C$128,MATRIX!R$8:R$128,)</f>
        <v>NO</v>
      </c>
      <c r="S87" s="4" t="str">
        <f>_xlfn.XLOOKUP($C87,MATRIX!$C$8:$C$128,MATRIX!S$8:S$128,)</f>
        <v>NO</v>
      </c>
      <c r="T87" s="4" t="str">
        <f>_xlfn.XLOOKUP($C87,MATRIX!$C$8:$C$128,MATRIX!T$8:T$128,)</f>
        <v>NO</v>
      </c>
      <c r="U87" s="4"/>
      <c r="V87" s="4" t="str">
        <f>_xlfn.XLOOKUP($C87,MATRIX!$C$8:$C$128,MATRIX!V$8:V$128,)</f>
        <v xml:space="preserve">Poor water quality discovered in 2018 has had a detrimental effect on equipment and pipework leading to increased likelihood of failures.  Replacing/upgrading pipework is recommended especially if work can be aligned with other invasive upgrades. </v>
      </c>
      <c r="W87" s="135" t="s">
        <v>482</v>
      </c>
    </row>
    <row r="88" spans="1:23" ht="72.5" x14ac:dyDescent="0.35">
      <c r="A88" s="40"/>
      <c r="B88" s="4" t="str">
        <f>_xlfn.XLOOKUP($C88,MATRIX!$C$8:$C$128,MATRIX!B$8:B$128,)</f>
        <v>PLUMBING</v>
      </c>
      <c r="C88" s="145" t="s">
        <v>352</v>
      </c>
      <c r="D88" s="4" t="str">
        <f>_xlfn.XLOOKUP($C88,MATRIX!$C$8:$C$128,MATRIX!D$8:D$128,)</f>
        <v xml:space="preserve">Due to age and efficiency, it is assumed within the next 5 years replacement of the domestic hot water heat exchanger HEX-2 should occur. </v>
      </c>
      <c r="E88" s="4" t="str">
        <f>_xlfn.XLOOKUP($C88,MATRIX!$C$8:$C$128,MATRIX!E$8:E$128,)</f>
        <v>END OF LIFE</v>
      </c>
      <c r="F88" s="4" t="str">
        <f>_xlfn.XLOOKUP($C88,MATRIX!$C$8:$C$128,MATRIX!F$8:F$128,)</f>
        <v>1_HIGH &lt;5 years</v>
      </c>
      <c r="G88" s="4" t="str">
        <f>_xlfn.XLOOKUP($C88,MATRIX!$C$8:$C$128,MATRIX!G$8:G$128,)</f>
        <v>ANNEX</v>
      </c>
      <c r="H88" s="4" t="str">
        <f>_xlfn.XLOOKUP($C88,MATRIX!$C$8:$C$128,MATRIX!H$8:H$128,)</f>
        <v>SUB BASEMENT</v>
      </c>
      <c r="I88" s="4" t="str">
        <f>_xlfn.XLOOKUP($C88,MATRIX!$C$8:$C$128,MATRIX!I$8:I$128,)</f>
        <v>LOW</v>
      </c>
      <c r="J88" s="4" t="str">
        <f>_xlfn.XLOOKUP($C88,MATRIX!$C$8:$C$128,MATRIX!J$8:J$128,)</f>
        <v>LOW</v>
      </c>
      <c r="K88" s="4" t="str">
        <f>_xlfn.XLOOKUP($C88,MATRIX!$C$8:$C$128,MATRIX!K$8:K$128,)</f>
        <v>N/A</v>
      </c>
      <c r="L88" s="4" t="str">
        <f>_xlfn.XLOOKUP($C88,MATRIX!$C$8:$C$128,MATRIX!L$8:L$128,)</f>
        <v>$$$ HIGH</v>
      </c>
      <c r="M88" s="4" t="str">
        <f>_xlfn.XLOOKUP($C88,MATRIX!$C$8:$C$128,MATRIX!M$8:M$128,)</f>
        <v>MODERATE REDUCTION</v>
      </c>
      <c r="N88" s="4" t="str">
        <f>_xlfn.XLOOKUP($C88,MATRIX!$C$8:$C$128,MATRIX!N$8:N$128,)</f>
        <v>MODERATE REDUCTION</v>
      </c>
      <c r="O88" s="4" t="str">
        <f>_xlfn.XLOOKUP($C88,MATRIX!$C$8:$C$128,MATRIX!O$8:O$128,)</f>
        <v>LOW</v>
      </c>
      <c r="P88" s="4" t="str">
        <f>_xlfn.XLOOKUP($C88,MATRIX!$C$8:$C$128,MATRIX!P$8:P$128,)</f>
        <v>YES</v>
      </c>
      <c r="Q88" s="4" t="str">
        <f>_xlfn.XLOOKUP($C88,MATRIX!$C$8:$C$128,MATRIX!Q$8:Q$128,)</f>
        <v>YES</v>
      </c>
      <c r="R88" s="4" t="str">
        <f>_xlfn.XLOOKUP($C88,MATRIX!$C$8:$C$128,MATRIX!R$8:R$128,)</f>
        <v>NO</v>
      </c>
      <c r="S88" s="4" t="str">
        <f>_xlfn.XLOOKUP($C88,MATRIX!$C$8:$C$128,MATRIX!S$8:S$128,)</f>
        <v>NO</v>
      </c>
      <c r="T88" s="4" t="str">
        <f>_xlfn.XLOOKUP($C88,MATRIX!$C$8:$C$128,MATRIX!T$8:T$128,)</f>
        <v>NO</v>
      </c>
      <c r="U88" s="4"/>
      <c r="V88" s="4">
        <f>_xlfn.XLOOKUP($C88,MATRIX!$C$8:$C$128,MATRIX!V$8:V$128,)</f>
        <v>0</v>
      </c>
      <c r="W88" s="135" t="s">
        <v>483</v>
      </c>
    </row>
    <row r="89" spans="1:23" ht="203" x14ac:dyDescent="0.35">
      <c r="A89" s="40"/>
      <c r="B89" s="4" t="str">
        <f>_xlfn.XLOOKUP($C89,MATRIX!$C$8:$C$128,MATRIX!B$8:B$128,)</f>
        <v>PLUMBING</v>
      </c>
      <c r="C89" s="145" t="s">
        <v>354</v>
      </c>
      <c r="D89" s="4" t="str">
        <f>_xlfn.XLOOKUP($C89,MATRIX!$C$8:$C$128,MATRIX!D$8:D$128,)</f>
        <v xml:space="preserve">Currently the majority of the domestic water system is insulated; however the missing /damaged insulation should be replaced with a vapor-sealed fiberglass insulation and service jacket. </v>
      </c>
      <c r="E89" s="4" t="str">
        <f>_xlfn.XLOOKUP($C89,MATRIX!$C$8:$C$128,MATRIX!E$8:E$128,)</f>
        <v>DEFERRED MAINTENANCE</v>
      </c>
      <c r="F89" s="4" t="str">
        <f>_xlfn.XLOOKUP($C89,MATRIX!$C$8:$C$128,MATRIX!F$8:F$128,)</f>
        <v>1_HIGH &lt;5 years</v>
      </c>
      <c r="G89" s="4" t="str">
        <f>_xlfn.XLOOKUP($C89,MATRIX!$C$8:$C$128,MATRIX!G$8:G$128,)</f>
        <v>WHOLE BUILDING</v>
      </c>
      <c r="H89" s="4" t="str">
        <f>_xlfn.XLOOKUP($C89,MATRIX!$C$8:$C$128,MATRIX!H$8:H$128,)</f>
        <v>WHOLE BUILDING</v>
      </c>
      <c r="I89" s="4" t="str">
        <f>_xlfn.XLOOKUP($C89,MATRIX!$C$8:$C$128,MATRIX!I$8:I$128,)</f>
        <v>MODERATE</v>
      </c>
      <c r="J89" s="4" t="str">
        <f>_xlfn.XLOOKUP($C89,MATRIX!$C$8:$C$128,MATRIX!J$8:J$128,)</f>
        <v>LOW</v>
      </c>
      <c r="K89" s="4" t="str">
        <f>_xlfn.XLOOKUP($C89,MATRIX!$C$8:$C$128,MATRIX!K$8:K$128,)</f>
        <v>N/A</v>
      </c>
      <c r="L89" s="4" t="str">
        <f>_xlfn.XLOOKUP($C89,MATRIX!$C$8:$C$128,MATRIX!L$8:L$128,)</f>
        <v>$ LOW</v>
      </c>
      <c r="M89" s="4" t="str">
        <f>_xlfn.XLOOKUP($C89,MATRIX!$C$8:$C$128,MATRIX!M$8:M$128,)</f>
        <v>MODERATE REDUCTION</v>
      </c>
      <c r="N89" s="4" t="str">
        <f>_xlfn.XLOOKUP($C89,MATRIX!$C$8:$C$128,MATRIX!N$8:N$128,)</f>
        <v>MODERATE REDUCTION</v>
      </c>
      <c r="O89" s="4" t="str">
        <f>_xlfn.XLOOKUP($C89,MATRIX!$C$8:$C$128,MATRIX!O$8:O$128,)</f>
        <v>N/A</v>
      </c>
      <c r="P89" s="4" t="str">
        <f>_xlfn.XLOOKUP($C89,MATRIX!$C$8:$C$128,MATRIX!P$8:P$128,)</f>
        <v>YES</v>
      </c>
      <c r="Q89" s="4" t="str">
        <f>_xlfn.XLOOKUP($C89,MATRIX!$C$8:$C$128,MATRIX!Q$8:Q$128,)</f>
        <v>YES</v>
      </c>
      <c r="R89" s="4" t="str">
        <f>_xlfn.XLOOKUP($C89,MATRIX!$C$8:$C$128,MATRIX!R$8:R$128,)</f>
        <v>NO</v>
      </c>
      <c r="S89" s="4" t="str">
        <f>_xlfn.XLOOKUP($C89,MATRIX!$C$8:$C$128,MATRIX!S$8:S$128,)</f>
        <v>NO</v>
      </c>
      <c r="T89" s="4" t="str">
        <f>_xlfn.XLOOKUP($C89,MATRIX!$C$8:$C$128,MATRIX!T$8:T$128,)</f>
        <v>NO</v>
      </c>
      <c r="U89" s="4"/>
      <c r="V89" s="4">
        <f>_xlfn.XLOOKUP($C89,MATRIX!$C$8:$C$128,MATRIX!V$8:V$128,)</f>
        <v>0</v>
      </c>
      <c r="W89" s="135" t="s">
        <v>484</v>
      </c>
    </row>
    <row r="90" spans="1:23" x14ac:dyDescent="0.35">
      <c r="A90" s="40"/>
      <c r="B90" s="40"/>
      <c r="C90" s="145"/>
      <c r="D90" s="40"/>
      <c r="E90" s="40"/>
      <c r="F90" s="40"/>
      <c r="G90" s="40"/>
      <c r="H90" s="40"/>
      <c r="I90" s="40"/>
      <c r="J90" s="40"/>
      <c r="K90" s="40"/>
      <c r="L90" s="40"/>
      <c r="M90" s="40"/>
      <c r="N90" s="40"/>
      <c r="O90" s="40"/>
      <c r="P90" s="40"/>
      <c r="Q90" s="40"/>
      <c r="R90" s="40"/>
      <c r="S90" s="40"/>
      <c r="T90" s="40"/>
      <c r="U90" s="40"/>
      <c r="V90" s="40"/>
      <c r="W90" s="4"/>
    </row>
    <row r="91" spans="1:23" x14ac:dyDescent="0.35">
      <c r="A91" s="141" t="s">
        <v>485</v>
      </c>
      <c r="B91" s="141" t="s">
        <v>486</v>
      </c>
      <c r="C91" s="142"/>
      <c r="D91" s="143"/>
      <c r="E91" s="144"/>
      <c r="F91" s="144"/>
      <c r="G91" s="144"/>
      <c r="H91" s="144"/>
      <c r="I91" s="144"/>
      <c r="J91" s="144"/>
      <c r="K91" s="144"/>
      <c r="L91" s="144"/>
      <c r="M91" s="144"/>
      <c r="N91" s="144"/>
      <c r="O91" s="144"/>
      <c r="P91" s="144"/>
      <c r="Q91" s="144"/>
      <c r="R91" s="144"/>
      <c r="S91" s="144"/>
      <c r="T91" s="144"/>
      <c r="U91" s="144"/>
      <c r="V91" s="144"/>
      <c r="W91" s="143"/>
    </row>
    <row r="92" spans="1:23" ht="159.5" x14ac:dyDescent="0.35">
      <c r="A92" s="40"/>
      <c r="B92" s="4" t="str">
        <f>_xlfn.XLOOKUP($C92,MATRIX!$C$8:$C$128,MATRIX!B$8:B$128,)</f>
        <v>MECHANICAL</v>
      </c>
      <c r="C92" s="145" t="s">
        <v>337</v>
      </c>
      <c r="D92" s="4" t="str">
        <f>_xlfn.XLOOKUP($C92,MATRIX!$C$8:$C$128,MATRIX!D$8:D$128,)</f>
        <v>Remove abandoned mechanical equipment to regain space for future upgrades</v>
      </c>
      <c r="E92" s="4" t="str">
        <f>_xlfn.XLOOKUP($C92,MATRIX!$C$8:$C$128,MATRIX!E$8:E$128,)</f>
        <v>END OF LIFE</v>
      </c>
      <c r="F92" s="4" t="str">
        <f>_xlfn.XLOOKUP($C92,MATRIX!$C$8:$C$128,MATRIX!F$8:F$128,)</f>
        <v>1_HIGH &lt;5 years</v>
      </c>
      <c r="G92" s="4" t="str">
        <f>_xlfn.XLOOKUP($C92,MATRIX!$C$8:$C$128,MATRIX!G$8:G$128,)</f>
        <v>WHOLE BUILDING</v>
      </c>
      <c r="H92" s="4" t="str">
        <f>_xlfn.XLOOKUP($C92,MATRIX!$C$8:$C$128,MATRIX!H$8:H$128,)</f>
        <v>WHOLE BUILDING</v>
      </c>
      <c r="I92" s="4" t="str">
        <f>_xlfn.XLOOKUP($C92,MATRIX!$C$8:$C$128,MATRIX!I$8:I$128,)</f>
        <v>LOW</v>
      </c>
      <c r="J92" s="4" t="str">
        <f>_xlfn.XLOOKUP($C92,MATRIX!$C$8:$C$128,MATRIX!J$8:J$128,)</f>
        <v>LOW</v>
      </c>
      <c r="K92" s="4" t="str">
        <f>_xlfn.XLOOKUP($C92,MATRIX!$C$8:$C$128,MATRIX!K$8:K$128,)</f>
        <v>N/A</v>
      </c>
      <c r="L92" s="4" t="str">
        <f>_xlfn.XLOOKUP($C92,MATRIX!$C$8:$C$128,MATRIX!L$8:L$128,)</f>
        <v>$$ MODERATE</v>
      </c>
      <c r="M92" s="4" t="str">
        <f>_xlfn.XLOOKUP($C92,MATRIX!$C$8:$C$128,MATRIX!M$8:M$128,)</f>
        <v>N/A</v>
      </c>
      <c r="N92" s="4" t="str">
        <f>_xlfn.XLOOKUP($C92,MATRIX!$C$8:$C$128,MATRIX!N$8:N$128,)</f>
        <v>N/A</v>
      </c>
      <c r="O92" s="4" t="str">
        <f>_xlfn.XLOOKUP($C92,MATRIX!$C$8:$C$128,MATRIX!O$8:O$128,)</f>
        <v>LOW</v>
      </c>
      <c r="P92" s="4" t="str">
        <f>_xlfn.XLOOKUP($C92,MATRIX!$C$8:$C$128,MATRIX!P$8:P$128,)</f>
        <v>NO</v>
      </c>
      <c r="Q92" s="4" t="str">
        <f>_xlfn.XLOOKUP($C92,MATRIX!$C$8:$C$128,MATRIX!Q$8:Q$128,)</f>
        <v>NO</v>
      </c>
      <c r="R92" s="4" t="str">
        <f>_xlfn.XLOOKUP($C92,MATRIX!$C$8:$C$128,MATRIX!R$8:R$128,)</f>
        <v>NO</v>
      </c>
      <c r="S92" s="4" t="str">
        <f>_xlfn.XLOOKUP($C92,MATRIX!$C$8:$C$128,MATRIX!S$8:S$128,)</f>
        <v>NO</v>
      </c>
      <c r="T92" s="4" t="str">
        <f>_xlfn.XLOOKUP($C92,MATRIX!$C$8:$C$128,MATRIX!T$8:T$128,)</f>
        <v>NO</v>
      </c>
      <c r="U92" s="4"/>
      <c r="V92" s="4" t="str">
        <f>_xlfn.XLOOKUP($C92,MATRIX!$C$8:$C$128,MATRIX!V$8:V$128,)</f>
        <v xml:space="preserve">Significant abandoned equipment located through building - removal would free up space for future upgrades.  </v>
      </c>
      <c r="W92" s="135" t="s">
        <v>487</v>
      </c>
    </row>
    <row r="93" spans="1:23" ht="43.5" x14ac:dyDescent="0.35">
      <c r="A93" s="40"/>
      <c r="B93" s="4" t="str">
        <f>_xlfn.XLOOKUP($C93,MATRIX!$C$8:$C$128,MATRIX!B$8:B$128,)</f>
        <v>MECHANICAL</v>
      </c>
      <c r="C93" s="145" t="s">
        <v>346</v>
      </c>
      <c r="D93" s="4" t="str">
        <f>_xlfn.XLOOKUP($C93,MATRIX!$C$8:$C$128,MATRIX!D$8:D$128,)</f>
        <v>Remove two large, disconnected air compressors from the boiler room.</v>
      </c>
      <c r="E93" s="4" t="str">
        <f>_xlfn.XLOOKUP($C93,MATRIX!$C$8:$C$128,MATRIX!E$8:E$128,)</f>
        <v>END OF LIFE</v>
      </c>
      <c r="F93" s="4" t="str">
        <f>_xlfn.XLOOKUP($C93,MATRIX!$C$8:$C$128,MATRIX!F$8:F$128,)</f>
        <v>1_HIGH &lt;5 years</v>
      </c>
      <c r="G93" s="4" t="str">
        <f>_xlfn.XLOOKUP($C93,MATRIX!$C$8:$C$128,MATRIX!G$8:G$128,)</f>
        <v>ANNEX</v>
      </c>
      <c r="H93" s="4" t="str">
        <f>_xlfn.XLOOKUP($C93,MATRIX!$C$8:$C$128,MATRIX!H$8:H$128,)</f>
        <v>SUB BASEMENT</v>
      </c>
      <c r="I93" s="4" t="str">
        <f>_xlfn.XLOOKUP($C93,MATRIX!$C$8:$C$128,MATRIX!I$8:I$128,)</f>
        <v>MODERATE</v>
      </c>
      <c r="J93" s="4" t="str">
        <f>_xlfn.XLOOKUP($C93,MATRIX!$C$8:$C$128,MATRIX!J$8:J$128,)</f>
        <v>LOW</v>
      </c>
      <c r="K93" s="4" t="str">
        <f>_xlfn.XLOOKUP($C93,MATRIX!$C$8:$C$128,MATRIX!K$8:K$128,)</f>
        <v>N/A</v>
      </c>
      <c r="L93" s="4" t="str">
        <f>_xlfn.XLOOKUP($C93,MATRIX!$C$8:$C$128,MATRIX!L$8:L$128,)</f>
        <v>$$ MODERATE</v>
      </c>
      <c r="M93" s="4" t="str">
        <f>_xlfn.XLOOKUP($C93,MATRIX!$C$8:$C$128,MATRIX!M$8:M$128,)</f>
        <v>N/A</v>
      </c>
      <c r="N93" s="4" t="str">
        <f>_xlfn.XLOOKUP($C93,MATRIX!$C$8:$C$128,MATRIX!N$8:N$128,)</f>
        <v>N/A</v>
      </c>
      <c r="O93" s="4" t="str">
        <f>_xlfn.XLOOKUP($C93,MATRIX!$C$8:$C$128,MATRIX!O$8:O$128,)</f>
        <v>N/A</v>
      </c>
      <c r="P93" s="4" t="str">
        <f>_xlfn.XLOOKUP($C93,MATRIX!$C$8:$C$128,MATRIX!P$8:P$128,)</f>
        <v>NO</v>
      </c>
      <c r="Q93" s="4" t="str">
        <f>_xlfn.XLOOKUP($C93,MATRIX!$C$8:$C$128,MATRIX!Q$8:Q$128,)</f>
        <v>NO</v>
      </c>
      <c r="R93" s="4" t="str">
        <f>_xlfn.XLOOKUP($C93,MATRIX!$C$8:$C$128,MATRIX!R$8:R$128,)</f>
        <v>NO</v>
      </c>
      <c r="S93" s="4" t="str">
        <f>_xlfn.XLOOKUP($C93,MATRIX!$C$8:$C$128,MATRIX!S$8:S$128,)</f>
        <v>NO</v>
      </c>
      <c r="T93" s="4" t="str">
        <f>_xlfn.XLOOKUP($C93,MATRIX!$C$8:$C$128,MATRIX!T$8:T$128,)</f>
        <v>NO</v>
      </c>
      <c r="U93" s="4"/>
      <c r="V93" s="4" t="str">
        <f>_xlfn.XLOOKUP($C93,MATRIX!$C$8:$C$128,MATRIX!V$8:V$128,)</f>
        <v>Per discussion with DCAMM, this work will be completed as part of the ongoing Chiller replacement project.</v>
      </c>
      <c r="W93" s="4"/>
    </row>
    <row r="94" spans="1:23" ht="87" x14ac:dyDescent="0.35">
      <c r="A94" s="40"/>
      <c r="B94" s="4" t="str">
        <f>_xlfn.XLOOKUP($C94,MATRIX!$C$8:$C$128,MATRIX!B$8:B$128,)</f>
        <v>CIVIL</v>
      </c>
      <c r="C94" s="145" t="s">
        <v>149</v>
      </c>
      <c r="D94" s="4" t="str">
        <f>_xlfn.XLOOKUP($C94,MATRIX!$C$8:$C$128,MATRIX!D$8:D$128,)</f>
        <v xml:space="preserve">Nitsch recommends that any water meter not being used should have its connection at the main cut and capped and the water meter should be returned to BWSC. 
 </v>
      </c>
      <c r="E94" s="4" t="str">
        <f>_xlfn.XLOOKUP($C94,MATRIX!$C$8:$C$128,MATRIX!E$8:E$128,)</f>
        <v>END OF LIFE</v>
      </c>
      <c r="F94" s="4" t="str">
        <f>_xlfn.XLOOKUP($C94,MATRIX!$C$8:$C$128,MATRIX!F$8:F$128,)</f>
        <v>1_HIGH &lt;5 years</v>
      </c>
      <c r="G94" s="4" t="str">
        <f>_xlfn.XLOOKUP($C94,MATRIX!$C$8:$C$128,MATRIX!G$8:G$128,)</f>
        <v>WHOLE BUILDING</v>
      </c>
      <c r="H94" s="4" t="str">
        <f>_xlfn.XLOOKUP($C94,MATRIX!$C$8:$C$128,MATRIX!H$8:H$128,)</f>
        <v>LEVELS BELOW GRADE</v>
      </c>
      <c r="I94" s="4" t="str">
        <f>_xlfn.XLOOKUP($C94,MATRIX!$C$8:$C$128,MATRIX!I$8:I$128,)</f>
        <v>LOW</v>
      </c>
      <c r="J94" s="4" t="str">
        <f>_xlfn.XLOOKUP($C94,MATRIX!$C$8:$C$128,MATRIX!J$8:J$128,)</f>
        <v>N/A</v>
      </c>
      <c r="K94" s="4" t="str">
        <f>_xlfn.XLOOKUP($C94,MATRIX!$C$8:$C$128,MATRIX!K$8:K$128,)</f>
        <v>N/A</v>
      </c>
      <c r="L94" s="4" t="str">
        <f>_xlfn.XLOOKUP($C94,MATRIX!$C$8:$C$128,MATRIX!L$8:L$128,)</f>
        <v>$ LOW</v>
      </c>
      <c r="M94" s="4" t="str">
        <f>_xlfn.XLOOKUP($C94,MATRIX!$C$8:$C$128,MATRIX!M$8:M$128,)</f>
        <v>MINIMAL IMPACT</v>
      </c>
      <c r="N94" s="4" t="str">
        <f>_xlfn.XLOOKUP($C94,MATRIX!$C$8:$C$128,MATRIX!N$8:N$128,)</f>
        <v>N/A</v>
      </c>
      <c r="O94" s="4" t="str">
        <f>_xlfn.XLOOKUP($C94,MATRIX!$C$8:$C$128,MATRIX!O$8:O$128,)</f>
        <v>N/A</v>
      </c>
      <c r="P94" s="4" t="str">
        <f>_xlfn.XLOOKUP($C94,MATRIX!$C$8:$C$128,MATRIX!P$8:P$128,)</f>
        <v>NO</v>
      </c>
      <c r="Q94" s="4" t="str">
        <f>_xlfn.XLOOKUP($C94,MATRIX!$C$8:$C$128,MATRIX!Q$8:Q$128,)</f>
        <v>YES</v>
      </c>
      <c r="R94" s="4" t="str">
        <f>_xlfn.XLOOKUP($C94,MATRIX!$C$8:$C$128,MATRIX!R$8:R$128,)</f>
        <v>NO</v>
      </c>
      <c r="S94" s="4" t="str">
        <f>_xlfn.XLOOKUP($C94,MATRIX!$C$8:$C$128,MATRIX!S$8:S$128,)</f>
        <v>NO</v>
      </c>
      <c r="T94" s="4" t="str">
        <f>_xlfn.XLOOKUP($C94,MATRIX!$C$8:$C$128,MATRIX!T$8:T$128,)</f>
        <v>NO</v>
      </c>
      <c r="U94" s="4"/>
      <c r="V94" s="4">
        <f>_xlfn.XLOOKUP($C94,MATRIX!$C$8:$C$128,MATRIX!V$8:V$128,)</f>
        <v>0</v>
      </c>
      <c r="W94" s="4" t="s">
        <v>488</v>
      </c>
    </row>
    <row r="95" spans="1:23" ht="101.5" x14ac:dyDescent="0.35">
      <c r="A95" s="40"/>
      <c r="B95" s="4" t="str">
        <f>_xlfn.XLOOKUP($C95,MATRIX!$C$8:$C$128,MATRIX!B$8:B$128,)</f>
        <v>ARCHITECTURAL</v>
      </c>
      <c r="C95" s="145" t="s">
        <v>81</v>
      </c>
      <c r="D95" s="4" t="str">
        <f>_xlfn.XLOOKUP($C95,MATRIX!$C$8:$C$128,MATRIX!D$8:D$128,)</f>
        <v>Removal of non-essential stored materials from spaces</v>
      </c>
      <c r="E95" s="4" t="str">
        <f>_xlfn.XLOOKUP($C95,MATRIX!$C$8:$C$128,MATRIX!E$8:E$128,)</f>
        <v>DEFERRED MAINTENANCE</v>
      </c>
      <c r="F95" s="4" t="str">
        <f>_xlfn.XLOOKUP($C95,MATRIX!$C$8:$C$128,MATRIX!F$8:F$128,)</f>
        <v>1_HIGH &lt;5 years</v>
      </c>
      <c r="G95" s="4" t="str">
        <f>_xlfn.XLOOKUP($C95,MATRIX!$C$8:$C$128,MATRIX!G$8:G$128,)</f>
        <v>WHOLE BUILDING</v>
      </c>
      <c r="H95" s="4" t="str">
        <f>_xlfn.XLOOKUP($C95,MATRIX!$C$8:$C$128,MATRIX!H$8:H$128,)</f>
        <v>WHOLE BUILDING</v>
      </c>
      <c r="I95" s="4" t="str">
        <f>_xlfn.XLOOKUP($C95,MATRIX!$C$8:$C$128,MATRIX!I$8:I$128,)</f>
        <v>MODERATE</v>
      </c>
      <c r="J95" s="4" t="str">
        <f>_xlfn.XLOOKUP($C95,MATRIX!$C$8:$C$128,MATRIX!J$8:J$128,)</f>
        <v>LOW</v>
      </c>
      <c r="K95" s="4" t="str">
        <f>_xlfn.XLOOKUP($C95,MATRIX!$C$8:$C$128,MATRIX!K$8:K$128,)</f>
        <v>N/A</v>
      </c>
      <c r="L95" s="4" t="str">
        <f>_xlfn.XLOOKUP($C95,MATRIX!$C$8:$C$128,MATRIX!L$8:L$128,)</f>
        <v>$$ MODERATE</v>
      </c>
      <c r="M95" s="4" t="str">
        <f>_xlfn.XLOOKUP($C95,MATRIX!$C$8:$C$128,MATRIX!M$8:M$128,)</f>
        <v>MINIMAL IMPACT</v>
      </c>
      <c r="N95" s="4" t="str">
        <f>_xlfn.XLOOKUP($C95,MATRIX!$C$8:$C$128,MATRIX!N$8:N$128,)</f>
        <v>N/A</v>
      </c>
      <c r="O95" s="4" t="str">
        <f>_xlfn.XLOOKUP($C95,MATRIX!$C$8:$C$128,MATRIX!O$8:O$128,)</f>
        <v>N/A</v>
      </c>
      <c r="P95" s="4" t="str">
        <f>_xlfn.XLOOKUP($C95,MATRIX!$C$8:$C$128,MATRIX!P$8:P$128,)</f>
        <v>NO</v>
      </c>
      <c r="Q95" s="4" t="str">
        <f>_xlfn.XLOOKUP($C95,MATRIX!$C$8:$C$128,MATRIX!Q$8:Q$128,)</f>
        <v>YES</v>
      </c>
      <c r="R95" s="4" t="str">
        <f>_xlfn.XLOOKUP($C95,MATRIX!$C$8:$C$128,MATRIX!R$8:R$128,)</f>
        <v>YES</v>
      </c>
      <c r="S95" s="4" t="str">
        <f>_xlfn.XLOOKUP($C95,MATRIX!$C$8:$C$128,MATRIX!S$8:S$128,)</f>
        <v>NO</v>
      </c>
      <c r="T95" s="4" t="str">
        <f>_xlfn.XLOOKUP($C95,MATRIX!$C$8:$C$128,MATRIX!T$8:T$128,)</f>
        <v>YES</v>
      </c>
      <c r="U95" s="4"/>
      <c r="V95" s="4" t="str">
        <f>_xlfn.XLOOKUP($C95,MATRIX!$C$8:$C$128,MATRIX!V$8:V$128,)</f>
        <v xml:space="preserve">Assessing which materials are needed for the operation and maintenance of the State House and its grounds and which can be removed. Once the non-essential items are removed, a determination of where best to store the remaining items should be developed and implemented. </v>
      </c>
      <c r="W95" s="4" t="s">
        <v>489</v>
      </c>
    </row>
    <row r="96" spans="1:23" x14ac:dyDescent="0.35">
      <c r="A96" s="40"/>
      <c r="B96" s="40"/>
      <c r="C96" s="145"/>
      <c r="D96" s="40"/>
      <c r="E96" s="40"/>
      <c r="F96" s="40"/>
      <c r="G96" s="40"/>
      <c r="H96" s="40"/>
      <c r="I96" s="40"/>
      <c r="J96" s="40"/>
      <c r="K96" s="40"/>
      <c r="L96" s="40"/>
      <c r="M96" s="40"/>
      <c r="N96" s="40"/>
      <c r="O96" s="40"/>
      <c r="P96" s="40"/>
      <c r="Q96" s="40"/>
      <c r="R96" s="40"/>
      <c r="S96" s="40"/>
      <c r="T96" s="40"/>
      <c r="U96" s="40"/>
      <c r="V96" s="40"/>
      <c r="W96" s="4"/>
    </row>
    <row r="97" spans="1:23" x14ac:dyDescent="0.35">
      <c r="A97" s="141" t="s">
        <v>490</v>
      </c>
      <c r="B97" s="141" t="s">
        <v>491</v>
      </c>
      <c r="C97" s="142"/>
      <c r="D97" s="143"/>
      <c r="E97" s="144"/>
      <c r="F97" s="144"/>
      <c r="G97" s="144"/>
      <c r="H97" s="144"/>
      <c r="I97" s="144"/>
      <c r="J97" s="144"/>
      <c r="K97" s="144"/>
      <c r="L97" s="144"/>
      <c r="M97" s="144"/>
      <c r="N97" s="144"/>
      <c r="O97" s="144"/>
      <c r="P97" s="144"/>
      <c r="Q97" s="144"/>
      <c r="R97" s="144"/>
      <c r="S97" s="144"/>
      <c r="T97" s="144"/>
      <c r="U97" s="144"/>
      <c r="V97" s="144"/>
      <c r="W97" s="143"/>
    </row>
    <row r="98" spans="1:23" ht="58" x14ac:dyDescent="0.35">
      <c r="A98" s="40"/>
      <c r="B98" s="4" t="str">
        <f>_xlfn.XLOOKUP($C98,MATRIX!$C$8:$C$128,MATRIX!B$8:B$128,)</f>
        <v>LANDSCAPE</v>
      </c>
      <c r="C98" s="145" t="s">
        <v>115</v>
      </c>
      <c r="D98" s="4" t="str">
        <f>_xlfn.XLOOKUP($C98,MATRIX!$C$8:$C$128,MATRIX!D$8:D$128,)</f>
        <v>Recommend that a comprehensive exterior accessibility study with recommendations be prepared</v>
      </c>
      <c r="E98" s="4" t="str">
        <f>_xlfn.XLOOKUP($C98,MATRIX!$C$8:$C$128,MATRIX!E$8:E$128,)</f>
        <v>STUDY / DOCUMENTATION</v>
      </c>
      <c r="F98" s="4" t="str">
        <f>_xlfn.XLOOKUP($C98,MATRIX!$C$8:$C$128,MATRIX!F$8:F$128,)</f>
        <v>3_LOW 10-20 years</v>
      </c>
      <c r="G98" s="4" t="str">
        <f>_xlfn.XLOOKUP($C98,MATRIX!$C$8:$C$128,MATRIX!G$8:G$128,)</f>
        <v>SITE</v>
      </c>
      <c r="H98" s="4">
        <f>_xlfn.XLOOKUP($C98,MATRIX!$C$8:$C$128,MATRIX!H$8:H$128,)</f>
        <v>0</v>
      </c>
      <c r="I98" s="4" t="str">
        <f>_xlfn.XLOOKUP($C98,MATRIX!$C$8:$C$128,MATRIX!I$8:I$128,)</f>
        <v>LOW</v>
      </c>
      <c r="J98" s="4" t="str">
        <f>_xlfn.XLOOKUP($C98,MATRIX!$C$8:$C$128,MATRIX!J$8:J$128,)</f>
        <v>LOW</v>
      </c>
      <c r="K98" s="4" t="str">
        <f>_xlfn.XLOOKUP($C98,MATRIX!$C$8:$C$128,MATRIX!K$8:K$128,)</f>
        <v>HIGH</v>
      </c>
      <c r="L98" s="4" t="str">
        <f>_xlfn.XLOOKUP($C98,MATRIX!$C$8:$C$128,MATRIX!L$8:L$128,)</f>
        <v>$ LOW</v>
      </c>
      <c r="M98" s="4" t="str">
        <f>_xlfn.XLOOKUP($C98,MATRIX!$C$8:$C$128,MATRIX!M$8:M$128,)</f>
        <v>N/A</v>
      </c>
      <c r="N98" s="4" t="str">
        <f>_xlfn.XLOOKUP($C98,MATRIX!$C$8:$C$128,MATRIX!N$8:N$128,)</f>
        <v>N/A</v>
      </c>
      <c r="O98" s="4" t="str">
        <f>_xlfn.XLOOKUP($C98,MATRIX!$C$8:$C$128,MATRIX!O$8:O$128,)</f>
        <v>N/A</v>
      </c>
      <c r="P98" s="4" t="str">
        <f>_xlfn.XLOOKUP($C98,MATRIX!$C$8:$C$128,MATRIX!P$8:P$128,)</f>
        <v>NO</v>
      </c>
      <c r="Q98" s="4" t="str">
        <f>_xlfn.XLOOKUP($C98,MATRIX!$C$8:$C$128,MATRIX!Q$8:Q$128,)</f>
        <v>NO</v>
      </c>
      <c r="R98" s="4" t="str">
        <f>_xlfn.XLOOKUP($C98,MATRIX!$C$8:$C$128,MATRIX!R$8:R$128,)</f>
        <v>NO</v>
      </c>
      <c r="S98" s="4" t="str">
        <f>_xlfn.XLOOKUP($C98,MATRIX!$C$8:$C$128,MATRIX!S$8:S$128,)</f>
        <v>YES</v>
      </c>
      <c r="T98" s="4" t="str">
        <f>_xlfn.XLOOKUP($C98,MATRIX!$C$8:$C$128,MATRIX!T$8:T$128,)</f>
        <v>NO</v>
      </c>
      <c r="U98" s="4" t="str">
        <f>_xlfn.XLOOKUP($C98,MATRIX!$C$8:$C$128,MATRIX!U$8:U$128,)</f>
        <v>ACCESSIBILITY / UNIVERSAL DESIGN</v>
      </c>
      <c r="V98" s="4">
        <f>_xlfn.XLOOKUP($C98,MATRIX!$C$8:$C$128,MATRIX!V$8:V$128,)</f>
        <v>0</v>
      </c>
      <c r="W98" s="4"/>
    </row>
    <row r="99" spans="1:23" ht="101.5" x14ac:dyDescent="0.35">
      <c r="A99" s="40"/>
      <c r="B99" s="4" t="str">
        <f>_xlfn.XLOOKUP($C99,MATRIX!$C$8:$C$128,MATRIX!B$8:B$128,)</f>
        <v>LANDSCAPE</v>
      </c>
      <c r="C99" s="145" t="s">
        <v>107</v>
      </c>
      <c r="D99" s="4" t="str">
        <f>_xlfn.XLOOKUP($C99,MATRIX!$C$8:$C$128,MATRIX!D$8:D$128,)</f>
        <v>Unutilized areaways could be made more sustainable by planting with bioretention style plantings. Waterproofing is an important concern as is maintenance of these spaces and access to area drains and other infrastructure within them</v>
      </c>
      <c r="E99" s="4" t="str">
        <f>_xlfn.XLOOKUP($C99,MATRIX!$C$8:$C$128,MATRIX!E$8:E$128,)</f>
        <v>UPGRADES / IMPROVEMENTS</v>
      </c>
      <c r="F99" s="4" t="str">
        <f>_xlfn.XLOOKUP($C99,MATRIX!$C$8:$C$128,MATRIX!F$8:F$128,)</f>
        <v>3_LOW 10-20 years</v>
      </c>
      <c r="G99" s="4" t="str">
        <f>_xlfn.XLOOKUP($C99,MATRIX!$C$8:$C$128,MATRIX!G$8:G$128,)</f>
        <v>SITE</v>
      </c>
      <c r="H99" s="4">
        <f>_xlfn.XLOOKUP($C99,MATRIX!$C$8:$C$128,MATRIX!H$8:H$128,)</f>
        <v>0</v>
      </c>
      <c r="I99" s="4" t="str">
        <f>_xlfn.XLOOKUP($C99,MATRIX!$C$8:$C$128,MATRIX!I$8:I$128,)</f>
        <v>MODERATE</v>
      </c>
      <c r="J99" s="4" t="str">
        <f>_xlfn.XLOOKUP($C99,MATRIX!$C$8:$C$128,MATRIX!J$8:J$128,)</f>
        <v>MODERATE</v>
      </c>
      <c r="K99" s="4" t="str">
        <f>_xlfn.XLOOKUP($C99,MATRIX!$C$8:$C$128,MATRIX!K$8:K$128,)</f>
        <v>LOW</v>
      </c>
      <c r="L99" s="4" t="str">
        <f>_xlfn.XLOOKUP($C99,MATRIX!$C$8:$C$128,MATRIX!L$8:L$128,)</f>
        <v>$$ MODERATE</v>
      </c>
      <c r="M99" s="4" t="str">
        <f>_xlfn.XLOOKUP($C99,MATRIX!$C$8:$C$128,MATRIX!M$8:M$128,)</f>
        <v>MINIMAL IMPACT</v>
      </c>
      <c r="N99" s="4" t="str">
        <f>_xlfn.XLOOKUP($C99,MATRIX!$C$8:$C$128,MATRIX!N$8:N$128,)</f>
        <v>MINIMAL IMPACT</v>
      </c>
      <c r="O99" s="4" t="str">
        <f>_xlfn.XLOOKUP($C99,MATRIX!$C$8:$C$128,MATRIX!O$8:O$128,)</f>
        <v>N/A</v>
      </c>
      <c r="P99" s="4" t="str">
        <f>_xlfn.XLOOKUP($C99,MATRIX!$C$8:$C$128,MATRIX!P$8:P$128,)</f>
        <v>YES</v>
      </c>
      <c r="Q99" s="4" t="str">
        <f>_xlfn.XLOOKUP($C99,MATRIX!$C$8:$C$128,MATRIX!Q$8:Q$128,)</f>
        <v>NO</v>
      </c>
      <c r="R99" s="4" t="str">
        <f>_xlfn.XLOOKUP($C99,MATRIX!$C$8:$C$128,MATRIX!R$8:R$128,)</f>
        <v>NO</v>
      </c>
      <c r="S99" s="4" t="str">
        <f>_xlfn.XLOOKUP($C99,MATRIX!$C$8:$C$128,MATRIX!S$8:S$128,)</f>
        <v>NO</v>
      </c>
      <c r="T99" s="4" t="str">
        <f>_xlfn.XLOOKUP($C99,MATRIX!$C$8:$C$128,MATRIX!T$8:T$128,)</f>
        <v>YES</v>
      </c>
      <c r="U99" s="4" t="str">
        <f>_xlfn.XLOOKUP($C99,MATRIX!$C$8:$C$128,MATRIX!U$8:U$128,)</f>
        <v>CIVIL</v>
      </c>
      <c r="V99" s="4">
        <f>_xlfn.XLOOKUP($C99,MATRIX!$C$8:$C$128,MATRIX!V$8:V$128,)</f>
        <v>0</v>
      </c>
      <c r="W99" s="135" t="s">
        <v>492</v>
      </c>
    </row>
    <row r="100" spans="1:23" ht="58" x14ac:dyDescent="0.35">
      <c r="A100" s="40"/>
      <c r="B100" s="4" t="str">
        <f>_xlfn.XLOOKUP($C100,MATRIX!$C$8:$C$128,MATRIX!B$8:B$128,)</f>
        <v>LANDSCAPE</v>
      </c>
      <c r="C100" s="145" t="s">
        <v>321</v>
      </c>
      <c r="D100" s="4" t="str">
        <f>_xlfn.XLOOKUP($C100,MATRIX!$C$8:$C$128,MATRIX!D$8:D$128,)</f>
        <v>Based upon survey of existing trees and plantings, develop design recommendations for maintenance and/or replacement</v>
      </c>
      <c r="E100" s="4" t="str">
        <f>_xlfn.XLOOKUP($C100,MATRIX!$C$8:$C$128,MATRIX!E$8:E$128,)</f>
        <v>DEFERRED MAINTENANCE</v>
      </c>
      <c r="F100" s="4" t="str">
        <f>_xlfn.XLOOKUP($C100,MATRIX!$C$8:$C$128,MATRIX!F$8:F$128,)</f>
        <v>3_LOW 10-20 years</v>
      </c>
      <c r="G100" s="4" t="str">
        <f>_xlfn.XLOOKUP($C100,MATRIX!$C$8:$C$128,MATRIX!G$8:G$128,)</f>
        <v>SITE</v>
      </c>
      <c r="H100" s="4">
        <f>_xlfn.XLOOKUP($C100,MATRIX!$C$8:$C$128,MATRIX!H$8:H$128,)</f>
        <v>0</v>
      </c>
      <c r="I100" s="4" t="str">
        <f>_xlfn.XLOOKUP($C100,MATRIX!$C$8:$C$128,MATRIX!I$8:I$128,)</f>
        <v>MODERATE</v>
      </c>
      <c r="J100" s="4" t="str">
        <f>_xlfn.XLOOKUP($C100,MATRIX!$C$8:$C$128,MATRIX!J$8:J$128,)</f>
        <v>LOW</v>
      </c>
      <c r="K100" s="4" t="str">
        <f>_xlfn.XLOOKUP($C100,MATRIX!$C$8:$C$128,MATRIX!K$8:K$128,)</f>
        <v>LOW</v>
      </c>
      <c r="L100" s="4" t="str">
        <f>_xlfn.XLOOKUP($C100,MATRIX!$C$8:$C$128,MATRIX!L$8:L$128,)</f>
        <v>$ LOW</v>
      </c>
      <c r="M100" s="4" t="str">
        <f>_xlfn.XLOOKUP($C100,MATRIX!$C$8:$C$128,MATRIX!M$8:M$128,)</f>
        <v>MODERATE REDUCTION</v>
      </c>
      <c r="N100" s="4" t="str">
        <f>_xlfn.XLOOKUP($C100,MATRIX!$C$8:$C$128,MATRIX!N$8:N$128,)</f>
        <v>MINIMAL IMPACT</v>
      </c>
      <c r="O100" s="4" t="str">
        <f>_xlfn.XLOOKUP($C100,MATRIX!$C$8:$C$128,MATRIX!O$8:O$128,)</f>
        <v>N/A</v>
      </c>
      <c r="P100" s="4" t="str">
        <f>_xlfn.XLOOKUP($C100,MATRIX!$C$8:$C$128,MATRIX!P$8:P$128,)</f>
        <v>YES</v>
      </c>
      <c r="Q100" s="4" t="str">
        <f>_xlfn.XLOOKUP($C100,MATRIX!$C$8:$C$128,MATRIX!Q$8:Q$128,)</f>
        <v>YES</v>
      </c>
      <c r="R100" s="4" t="str">
        <f>_xlfn.XLOOKUP($C100,MATRIX!$C$8:$C$128,MATRIX!R$8:R$128,)</f>
        <v>NO</v>
      </c>
      <c r="S100" s="4" t="str">
        <f>_xlfn.XLOOKUP($C100,MATRIX!$C$8:$C$128,MATRIX!S$8:S$128,)</f>
        <v>NO</v>
      </c>
      <c r="T100" s="4" t="str">
        <f>_xlfn.XLOOKUP($C100,MATRIX!$C$8:$C$128,MATRIX!T$8:T$128,)</f>
        <v>YES</v>
      </c>
      <c r="U100" s="4" t="str">
        <f>_xlfn.XLOOKUP($C100,MATRIX!$C$8:$C$128,MATRIX!U$8:U$128,)</f>
        <v>SECURITY</v>
      </c>
      <c r="V100" s="4">
        <f>_xlfn.XLOOKUP($C100,MATRIX!$C$8:$C$128,MATRIX!V$8:V$128,)</f>
        <v>0</v>
      </c>
      <c r="W100" s="4"/>
    </row>
    <row r="101" spans="1:23" ht="145" x14ac:dyDescent="0.35">
      <c r="A101" s="40"/>
      <c r="B101" s="4" t="str">
        <f>_xlfn.XLOOKUP($C101,MATRIX!$C$8:$C$128,MATRIX!B$8:B$128,)</f>
        <v>LANDSCAPE</v>
      </c>
      <c r="C101" s="145" t="s">
        <v>324</v>
      </c>
      <c r="D101" s="4" t="str">
        <f>_xlfn.XLOOKUP($C101,MATRIX!$C$8:$C$128,MATRIX!D$8:D$128,)</f>
        <v>There is an irrigation system for the lawns and planting areas. The system does not include rain gauges or  soil moisture-based sensors or flow meters that could improve efficiency and guard against overuse of  water and detect leaks. 
Review options to improve performance and efficiency of these systems.</v>
      </c>
      <c r="E101" s="4" t="str">
        <f>_xlfn.XLOOKUP($C101,MATRIX!$C$8:$C$128,MATRIX!E$8:E$128,)</f>
        <v>UPGRADES / IMPROVEMENTS</v>
      </c>
      <c r="F101" s="4" t="str">
        <f>_xlfn.XLOOKUP($C101,MATRIX!$C$8:$C$128,MATRIX!F$8:F$128,)</f>
        <v>3_LOW 10-20 years</v>
      </c>
      <c r="G101" s="4" t="str">
        <f>_xlfn.XLOOKUP($C101,MATRIX!$C$8:$C$128,MATRIX!G$8:G$128,)</f>
        <v>SITE</v>
      </c>
      <c r="H101" s="4">
        <f>_xlfn.XLOOKUP($C101,MATRIX!$C$8:$C$128,MATRIX!H$8:H$128,)</f>
        <v>0</v>
      </c>
      <c r="I101" s="4" t="str">
        <f>_xlfn.XLOOKUP($C101,MATRIX!$C$8:$C$128,MATRIX!I$8:I$128,)</f>
        <v>LOW</v>
      </c>
      <c r="J101" s="4" t="str">
        <f>_xlfn.XLOOKUP($C101,MATRIX!$C$8:$C$128,MATRIX!J$8:J$128,)</f>
        <v>LOW</v>
      </c>
      <c r="K101" s="4" t="str">
        <f>_xlfn.XLOOKUP($C101,MATRIX!$C$8:$C$128,MATRIX!K$8:K$128,)</f>
        <v>N/A</v>
      </c>
      <c r="L101" s="4" t="str">
        <f>_xlfn.XLOOKUP($C101,MATRIX!$C$8:$C$128,MATRIX!L$8:L$128,)</f>
        <v>$ LOW</v>
      </c>
      <c r="M101" s="4" t="str">
        <f>_xlfn.XLOOKUP($C101,MATRIX!$C$8:$C$128,MATRIX!M$8:M$128,)</f>
        <v>MINIMAL IMPACT</v>
      </c>
      <c r="N101" s="4" t="str">
        <f>_xlfn.XLOOKUP($C101,MATRIX!$C$8:$C$128,MATRIX!N$8:N$128,)</f>
        <v>N/A</v>
      </c>
      <c r="O101" s="4" t="str">
        <f>_xlfn.XLOOKUP($C101,MATRIX!$C$8:$C$128,MATRIX!O$8:O$128,)</f>
        <v>N/A</v>
      </c>
      <c r="P101" s="4" t="str">
        <f>_xlfn.XLOOKUP($C101,MATRIX!$C$8:$C$128,MATRIX!P$8:P$128,)</f>
        <v>YES</v>
      </c>
      <c r="Q101" s="4" t="str">
        <f>_xlfn.XLOOKUP($C101,MATRIX!$C$8:$C$128,MATRIX!Q$8:Q$128,)</f>
        <v>YES</v>
      </c>
      <c r="R101" s="4" t="str">
        <f>_xlfn.XLOOKUP($C101,MATRIX!$C$8:$C$128,MATRIX!R$8:R$128,)</f>
        <v>NO</v>
      </c>
      <c r="S101" s="4" t="str">
        <f>_xlfn.XLOOKUP($C101,MATRIX!$C$8:$C$128,MATRIX!S$8:S$128,)</f>
        <v>NO</v>
      </c>
      <c r="T101" s="4" t="str">
        <f>_xlfn.XLOOKUP($C101,MATRIX!$C$8:$C$128,MATRIX!T$8:T$128,)</f>
        <v>NO</v>
      </c>
      <c r="U101" s="4">
        <f>_xlfn.XLOOKUP($C101,MATRIX!$C$8:$C$128,MATRIX!U$8:U$128,)</f>
        <v>0</v>
      </c>
      <c r="V101" s="4">
        <f>_xlfn.XLOOKUP($C101,MATRIX!$C$8:$C$128,MATRIX!V$8:V$128,)</f>
        <v>0</v>
      </c>
      <c r="W101" s="135" t="s">
        <v>493</v>
      </c>
    </row>
    <row r="102" spans="1:23" ht="29" x14ac:dyDescent="0.35">
      <c r="A102" s="40"/>
      <c r="B102" s="4" t="str">
        <f>_xlfn.XLOOKUP($C102,MATRIX!$C$8:$C$128,MATRIX!B$8:B$128,)</f>
        <v>CIVIL</v>
      </c>
      <c r="C102" s="145" t="s">
        <v>144</v>
      </c>
      <c r="D102" s="4" t="str">
        <f>_xlfn.XLOOKUP($C102,MATRIX!$C$8:$C$128,MATRIX!D$8:D$128,)</f>
        <v>Separate combined storm/sewer</v>
      </c>
      <c r="E102" s="4" t="str">
        <f>_xlfn.XLOOKUP($C102,MATRIX!$C$8:$C$128,MATRIX!E$8:E$128,)</f>
        <v>UPGRADES / IMPROVEMENTS</v>
      </c>
      <c r="F102" s="4" t="str">
        <f>_xlfn.XLOOKUP($C102,MATRIX!$C$8:$C$128,MATRIX!F$8:F$128,)</f>
        <v>3_LOW 10-20 years</v>
      </c>
      <c r="G102" s="4" t="str">
        <f>_xlfn.XLOOKUP($C102,MATRIX!$C$8:$C$128,MATRIX!G$8:G$128,)</f>
        <v>SITE</v>
      </c>
      <c r="H102" s="4">
        <f>_xlfn.XLOOKUP($C102,MATRIX!$C$8:$C$128,MATRIX!H$8:H$128,)</f>
        <v>0</v>
      </c>
      <c r="I102" s="4" t="str">
        <f>_xlfn.XLOOKUP($C102,MATRIX!$C$8:$C$128,MATRIX!I$8:I$128,)</f>
        <v>MODERATE</v>
      </c>
      <c r="J102" s="4" t="str">
        <f>_xlfn.XLOOKUP($C102,MATRIX!$C$8:$C$128,MATRIX!J$8:J$128,)</f>
        <v>LOW</v>
      </c>
      <c r="K102" s="4" t="str">
        <f>_xlfn.XLOOKUP($C102,MATRIX!$C$8:$C$128,MATRIX!K$8:K$128,)</f>
        <v>N/A</v>
      </c>
      <c r="L102" s="4" t="str">
        <f>_xlfn.XLOOKUP($C102,MATRIX!$C$8:$C$128,MATRIX!L$8:L$128,)</f>
        <v>$$ MODERATE</v>
      </c>
      <c r="M102" s="4" t="str">
        <f>_xlfn.XLOOKUP($C102,MATRIX!$C$8:$C$128,MATRIX!M$8:M$128,)</f>
        <v>MINIMAL IMPACT</v>
      </c>
      <c r="N102" s="4" t="str">
        <f>_xlfn.XLOOKUP($C102,MATRIX!$C$8:$C$128,MATRIX!N$8:N$128,)</f>
        <v>N/A</v>
      </c>
      <c r="O102" s="4" t="str">
        <f>_xlfn.XLOOKUP($C102,MATRIX!$C$8:$C$128,MATRIX!O$8:O$128,)</f>
        <v>N/A</v>
      </c>
      <c r="P102" s="4" t="str">
        <f>_xlfn.XLOOKUP($C102,MATRIX!$C$8:$C$128,MATRIX!P$8:P$128,)</f>
        <v>YES</v>
      </c>
      <c r="Q102" s="4" t="str">
        <f>_xlfn.XLOOKUP($C102,MATRIX!$C$8:$C$128,MATRIX!Q$8:Q$128,)</f>
        <v>NO</v>
      </c>
      <c r="R102" s="4" t="str">
        <f>_xlfn.XLOOKUP($C102,MATRIX!$C$8:$C$128,MATRIX!R$8:R$128,)</f>
        <v>NO</v>
      </c>
      <c r="S102" s="4" t="str">
        <f>_xlfn.XLOOKUP($C102,MATRIX!$C$8:$C$128,MATRIX!S$8:S$128,)</f>
        <v>NO</v>
      </c>
      <c r="T102" s="4" t="str">
        <f>_xlfn.XLOOKUP($C102,MATRIX!$C$8:$C$128,MATRIX!T$8:T$128,)</f>
        <v>YES</v>
      </c>
      <c r="U102" s="4" t="str">
        <f>_xlfn.XLOOKUP($C102,MATRIX!$C$8:$C$128,MATRIX!U$8:U$128,)</f>
        <v>LANDSCAPE</v>
      </c>
      <c r="V102" s="4">
        <f>_xlfn.XLOOKUP($C102,MATRIX!$C$8:$C$128,MATRIX!V$8:V$128,)</f>
        <v>0</v>
      </c>
      <c r="W102" s="4" t="s">
        <v>494</v>
      </c>
    </row>
    <row r="103" spans="1:23" ht="72.5" x14ac:dyDescent="0.35">
      <c r="A103" s="40"/>
      <c r="B103" s="4" t="str">
        <f>_xlfn.XLOOKUP($C103,MATRIX!$C$8:$C$128,MATRIX!B$8:B$128,)</f>
        <v>CIVIL</v>
      </c>
      <c r="C103" s="145" t="s">
        <v>147</v>
      </c>
      <c r="D103" s="4" t="str">
        <f>_xlfn.XLOOKUP($C103,MATRIX!$C$8:$C$128,MATRIX!D$8:D$128,)</f>
        <v xml:space="preserve">Green Infrastructure to retain, on site, a volume of runoff equal to 1.25-inches of rainfall across the portion of impervious area located on the Project Site. </v>
      </c>
      <c r="E103" s="4" t="str">
        <f>_xlfn.XLOOKUP($C103,MATRIX!$C$8:$C$128,MATRIX!E$8:E$128,)</f>
        <v>UPGRADES / IMPROVEMENTS</v>
      </c>
      <c r="F103" s="4" t="str">
        <f>_xlfn.XLOOKUP($C103,MATRIX!$C$8:$C$128,MATRIX!F$8:F$128,)</f>
        <v>3_LOW 10-20 years</v>
      </c>
      <c r="G103" s="4" t="str">
        <f>_xlfn.XLOOKUP($C103,MATRIX!$C$8:$C$128,MATRIX!G$8:G$128,)</f>
        <v>SITE</v>
      </c>
      <c r="H103" s="4">
        <f>_xlfn.XLOOKUP($C103,MATRIX!$C$8:$C$128,MATRIX!H$8:H$128,)</f>
        <v>0</v>
      </c>
      <c r="I103" s="4" t="str">
        <f>_xlfn.XLOOKUP($C103,MATRIX!$C$8:$C$128,MATRIX!I$8:I$128,)</f>
        <v>MODERATE</v>
      </c>
      <c r="J103" s="4" t="str">
        <f>_xlfn.XLOOKUP($C103,MATRIX!$C$8:$C$128,MATRIX!J$8:J$128,)</f>
        <v>LOW</v>
      </c>
      <c r="K103" s="4" t="str">
        <f>_xlfn.XLOOKUP($C103,MATRIX!$C$8:$C$128,MATRIX!K$8:K$128,)</f>
        <v>N/A</v>
      </c>
      <c r="L103" s="4" t="str">
        <f>_xlfn.XLOOKUP($C103,MATRIX!$C$8:$C$128,MATRIX!L$8:L$128,)</f>
        <v>$$ MODERATE</v>
      </c>
      <c r="M103" s="4" t="str">
        <f>_xlfn.XLOOKUP($C103,MATRIX!$C$8:$C$128,MATRIX!M$8:M$128,)</f>
        <v>MINIMAL IMPACT</v>
      </c>
      <c r="N103" s="4" t="str">
        <f>_xlfn.XLOOKUP($C103,MATRIX!$C$8:$C$128,MATRIX!N$8:N$128,)</f>
        <v>N/A</v>
      </c>
      <c r="O103" s="4" t="str">
        <f>_xlfn.XLOOKUP($C103,MATRIX!$C$8:$C$128,MATRIX!O$8:O$128,)</f>
        <v>N/A</v>
      </c>
      <c r="P103" s="4" t="str">
        <f>_xlfn.XLOOKUP($C103,MATRIX!$C$8:$C$128,MATRIX!P$8:P$128,)</f>
        <v>YES</v>
      </c>
      <c r="Q103" s="4" t="str">
        <f>_xlfn.XLOOKUP($C103,MATRIX!$C$8:$C$128,MATRIX!Q$8:Q$128,)</f>
        <v>NO</v>
      </c>
      <c r="R103" s="4" t="str">
        <f>_xlfn.XLOOKUP($C103,MATRIX!$C$8:$C$128,MATRIX!R$8:R$128,)</f>
        <v>NO</v>
      </c>
      <c r="S103" s="4" t="str">
        <f>_xlfn.XLOOKUP($C103,MATRIX!$C$8:$C$128,MATRIX!S$8:S$128,)</f>
        <v>NO</v>
      </c>
      <c r="T103" s="4" t="str">
        <f>_xlfn.XLOOKUP($C103,MATRIX!$C$8:$C$128,MATRIX!T$8:T$128,)</f>
        <v>YES</v>
      </c>
      <c r="U103" s="4" t="str">
        <f>_xlfn.XLOOKUP($C103,MATRIX!$C$8:$C$128,MATRIX!U$8:U$128,)</f>
        <v>LANDSCAPE</v>
      </c>
      <c r="V103" s="4">
        <f>_xlfn.XLOOKUP($C103,MATRIX!$C$8:$C$128,MATRIX!V$8:V$128,)</f>
        <v>0</v>
      </c>
      <c r="W103" s="4" t="s">
        <v>495</v>
      </c>
    </row>
    <row r="104" spans="1:23" ht="43.5" x14ac:dyDescent="0.35">
      <c r="A104" s="40"/>
      <c r="B104" s="4" t="str">
        <f>_xlfn.XLOOKUP($C104,MATRIX!$C$8:$C$128,MATRIX!B$8:B$128,)</f>
        <v>LANDSCAPE</v>
      </c>
      <c r="C104" s="145" t="s">
        <v>129</v>
      </c>
      <c r="D104" s="4" t="str">
        <f>_xlfn.XLOOKUP($C104,MATRIX!$C$8:$C$128,MATRIX!D$8:D$128,)</f>
        <v>BSH Maintenance Shed. New construction in west lawn off Mt. Vernon Street.</v>
      </c>
      <c r="E104" s="4" t="str">
        <f>_xlfn.XLOOKUP($C104,MATRIX!$C$8:$C$128,MATRIX!E$8:E$128,)</f>
        <v>UPGRADES / IMPROVEMENTS</v>
      </c>
      <c r="F104" s="4" t="str">
        <f>_xlfn.XLOOKUP($C104,MATRIX!$C$8:$C$128,MATRIX!F$8:F$128,)</f>
        <v>3_LOW 10-20 years</v>
      </c>
      <c r="G104" s="4" t="str">
        <f>_xlfn.XLOOKUP($C104,MATRIX!$C$8:$C$128,MATRIX!G$8:G$128,)</f>
        <v>SITE</v>
      </c>
      <c r="H104" s="4" t="str">
        <f>_xlfn.XLOOKUP($C104,MATRIX!$C$8:$C$128,MATRIX!H$8:H$128,)</f>
        <v>OTHER *</v>
      </c>
      <c r="I104" s="4" t="str">
        <f>_xlfn.XLOOKUP($C104,MATRIX!$C$8:$C$128,MATRIX!I$8:I$128,)</f>
        <v>MODERATE</v>
      </c>
      <c r="J104" s="4" t="str">
        <f>_xlfn.XLOOKUP($C104,MATRIX!$C$8:$C$128,MATRIX!J$8:J$128,)</f>
        <v>MODERATE</v>
      </c>
      <c r="K104" s="4" t="str">
        <f>_xlfn.XLOOKUP($C104,MATRIX!$C$8:$C$128,MATRIX!K$8:K$128,)</f>
        <v>LOW</v>
      </c>
      <c r="L104" s="4" t="str">
        <f>_xlfn.XLOOKUP($C104,MATRIX!$C$8:$C$128,MATRIX!L$8:L$128,)</f>
        <v>$$$ HIGH</v>
      </c>
      <c r="M104" s="4" t="str">
        <f>_xlfn.XLOOKUP($C104,MATRIX!$C$8:$C$128,MATRIX!M$8:M$128,)</f>
        <v>MINIMAL IMPACT</v>
      </c>
      <c r="N104" s="4" t="str">
        <f>_xlfn.XLOOKUP($C104,MATRIX!$C$8:$C$128,MATRIX!N$8:N$128,)</f>
        <v>MINIMAL IMPACT</v>
      </c>
      <c r="O104" s="4" t="str">
        <f>_xlfn.XLOOKUP($C104,MATRIX!$C$8:$C$128,MATRIX!O$8:O$128,)</f>
        <v>N/A</v>
      </c>
      <c r="P104" s="4">
        <f>_xlfn.XLOOKUP($C104,MATRIX!$C$8:$C$128,MATRIX!P$8:P$128,)</f>
        <v>0</v>
      </c>
      <c r="Q104" s="4" t="str">
        <f>_xlfn.XLOOKUP($C104,MATRIX!$C$8:$C$128,MATRIX!Q$8:Q$128,)</f>
        <v>YES</v>
      </c>
      <c r="R104" s="4" t="str">
        <f>_xlfn.XLOOKUP($C104,MATRIX!$C$8:$C$128,MATRIX!R$8:R$128,)</f>
        <v>NO</v>
      </c>
      <c r="S104" s="4" t="str">
        <f>_xlfn.XLOOKUP($C104,MATRIX!$C$8:$C$128,MATRIX!S$8:S$128,)</f>
        <v>NO</v>
      </c>
      <c r="T104" s="4" t="str">
        <f>_xlfn.XLOOKUP($C104,MATRIX!$C$8:$C$128,MATRIX!T$8:T$128,)</f>
        <v>YES</v>
      </c>
      <c r="U104" s="4">
        <f>_xlfn.XLOOKUP($C104,MATRIX!$C$8:$C$128,MATRIX!U$8:U$128,)</f>
        <v>0</v>
      </c>
      <c r="V104" s="4">
        <f>_xlfn.XLOOKUP($C104,MATRIX!$C$8:$C$128,MATRIX!V$8:V$128,)</f>
        <v>0</v>
      </c>
      <c r="W104" s="135" t="s">
        <v>496</v>
      </c>
    </row>
    <row r="105" spans="1:23" ht="43.5" x14ac:dyDescent="0.35">
      <c r="A105" s="40"/>
      <c r="B105" s="4" t="str">
        <f>_xlfn.XLOOKUP($C105,MATRIX!$C$8:$C$128,MATRIX!B$8:B$128,)</f>
        <v>ACCESSIBILITY</v>
      </c>
      <c r="C105" s="145" t="s">
        <v>130</v>
      </c>
      <c r="D105" s="4" t="str">
        <f>_xlfn.XLOOKUP($C105,MATRIX!$C$8:$C$128,MATRIX!D$8:D$128,)</f>
        <v xml:space="preserve">Provide improved exterior wayfinding 
signage adjacent to all public 
sidewalks around the building. </v>
      </c>
      <c r="E105" s="4" t="str">
        <f>_xlfn.XLOOKUP($C105,MATRIX!$C$8:$C$128,MATRIX!E$8:E$128,)</f>
        <v>UPGRADES / IMPROVEMENTS</v>
      </c>
      <c r="F105" s="4" t="str">
        <f>_xlfn.XLOOKUP($C105,MATRIX!$C$8:$C$128,MATRIX!F$8:F$128,)</f>
        <v>2_MID 5-10 years</v>
      </c>
      <c r="G105" s="4" t="str">
        <f>_xlfn.XLOOKUP($C105,MATRIX!$C$8:$C$128,MATRIX!G$8:G$128,)</f>
        <v>SITE</v>
      </c>
      <c r="H105" s="4" t="str">
        <f>_xlfn.XLOOKUP($C105,MATRIX!$C$8:$C$128,MATRIX!H$8:H$128,)</f>
        <v>WHOLE BUILDING</v>
      </c>
      <c r="I105" s="4" t="str">
        <f>_xlfn.XLOOKUP($C105,MATRIX!$C$8:$C$128,MATRIX!I$8:I$128,)</f>
        <v>LOW</v>
      </c>
      <c r="J105" s="4" t="str">
        <f>_xlfn.XLOOKUP($C105,MATRIX!$C$8:$C$128,MATRIX!J$8:J$128,)</f>
        <v>MODERATE</v>
      </c>
      <c r="K105" s="4" t="str">
        <f>_xlfn.XLOOKUP($C105,MATRIX!$C$8:$C$128,MATRIX!K$8:K$128,)</f>
        <v>MODERATE</v>
      </c>
      <c r="L105" s="4" t="str">
        <f>_xlfn.XLOOKUP($C105,MATRIX!$C$8:$C$128,MATRIX!L$8:L$128,)</f>
        <v>$ LOW</v>
      </c>
      <c r="M105" s="4" t="str">
        <f>_xlfn.XLOOKUP($C105,MATRIX!$C$8:$C$128,MATRIX!M$8:M$128,)</f>
        <v>N/A</v>
      </c>
      <c r="N105" s="4" t="str">
        <f>_xlfn.XLOOKUP($C105,MATRIX!$C$8:$C$128,MATRIX!N$8:N$128,)</f>
        <v>N/A</v>
      </c>
      <c r="O105" s="4" t="str">
        <f>_xlfn.XLOOKUP($C105,MATRIX!$C$8:$C$128,MATRIX!O$8:O$128,)</f>
        <v>N/A</v>
      </c>
      <c r="P105" s="4" t="str">
        <f>_xlfn.XLOOKUP($C105,MATRIX!$C$8:$C$128,MATRIX!P$8:P$128,)</f>
        <v>NO</v>
      </c>
      <c r="Q105" s="4" t="str">
        <f>_xlfn.XLOOKUP($C105,MATRIX!$C$8:$C$128,MATRIX!Q$8:Q$128,)</f>
        <v>NO</v>
      </c>
      <c r="R105" s="4" t="str">
        <f>_xlfn.XLOOKUP($C105,MATRIX!$C$8:$C$128,MATRIX!R$8:R$128,)</f>
        <v>NO</v>
      </c>
      <c r="S105" s="4" t="str">
        <f>_xlfn.XLOOKUP($C105,MATRIX!$C$8:$C$128,MATRIX!S$8:S$128,)</f>
        <v>YES</v>
      </c>
      <c r="T105" s="4" t="str">
        <f>_xlfn.XLOOKUP($C105,MATRIX!$C$8:$C$128,MATRIX!T$8:T$128,)</f>
        <v>NO</v>
      </c>
      <c r="U105" s="4">
        <f>_xlfn.XLOOKUP($C105,MATRIX!$C$8:$C$128,MATRIX!U$8:U$128,)</f>
        <v>0</v>
      </c>
      <c r="V105" s="4">
        <f>_xlfn.XLOOKUP($C105,MATRIX!$C$8:$C$128,MATRIX!V$8:V$128,)</f>
        <v>0</v>
      </c>
      <c r="W105" s="4" t="s">
        <v>497</v>
      </c>
    </row>
    <row r="106" spans="1:23" x14ac:dyDescent="0.35">
      <c r="A106" s="40"/>
      <c r="B106" s="40"/>
      <c r="C106" s="145"/>
      <c r="D106" s="40"/>
      <c r="E106" s="40"/>
      <c r="F106" s="40"/>
      <c r="G106" s="40"/>
      <c r="H106" s="40"/>
      <c r="I106" s="40"/>
      <c r="J106" s="40"/>
      <c r="K106" s="40"/>
      <c r="L106" s="40"/>
      <c r="M106" s="40"/>
      <c r="N106" s="40"/>
      <c r="O106" s="40"/>
      <c r="P106" s="40"/>
      <c r="Q106" s="40"/>
      <c r="R106" s="40"/>
      <c r="S106" s="40"/>
      <c r="T106" s="40"/>
      <c r="U106" s="40"/>
      <c r="V106" s="40"/>
      <c r="W106" s="4"/>
    </row>
    <row r="107" spans="1:23" x14ac:dyDescent="0.35">
      <c r="A107" s="141" t="s">
        <v>498</v>
      </c>
      <c r="B107" s="141" t="s">
        <v>499</v>
      </c>
      <c r="C107" s="142"/>
      <c r="D107" s="143"/>
      <c r="E107" s="144"/>
      <c r="F107" s="144"/>
      <c r="G107" s="144"/>
      <c r="H107" s="144"/>
      <c r="I107" s="144"/>
      <c r="J107" s="144"/>
      <c r="K107" s="144"/>
      <c r="L107" s="144"/>
      <c r="M107" s="144"/>
      <c r="N107" s="144"/>
      <c r="O107" s="144"/>
      <c r="P107" s="144"/>
      <c r="Q107" s="144"/>
      <c r="R107" s="144"/>
      <c r="S107" s="144"/>
      <c r="T107" s="144"/>
      <c r="U107" s="144"/>
      <c r="V107" s="144"/>
      <c r="W107" s="143"/>
    </row>
    <row r="108" spans="1:23" ht="87" x14ac:dyDescent="0.35">
      <c r="A108" s="40"/>
      <c r="B108" s="4" t="str">
        <f>_xlfn.XLOOKUP($C108,MATRIX!$C$8:$C$128,MATRIX!B$8:B$128,)</f>
        <v>ELECTRICAL</v>
      </c>
      <c r="C108" s="145" t="s">
        <v>161</v>
      </c>
      <c r="D108" s="4" t="str">
        <f>_xlfn.XLOOKUP($C108,MATRIX!$C$8:$C$128,MATRIX!D$8:D$128,)</f>
        <v xml:space="preserve">Exterior Lighting. Include comprehensive design approach to existing pole lighting*, landscape lighting, and building lighting. </v>
      </c>
      <c r="E108" s="4" t="str">
        <f>_xlfn.XLOOKUP($C108,MATRIX!$C$8:$C$128,MATRIX!E$8:E$128,)</f>
        <v>UPGRADES / IMPROVEMENTS</v>
      </c>
      <c r="F108" s="4" t="str">
        <f>_xlfn.XLOOKUP($C108,MATRIX!$C$8:$C$128,MATRIX!F$8:F$128,)</f>
        <v>1_HIGH &lt;5 years</v>
      </c>
      <c r="G108" s="4" t="str">
        <f>_xlfn.XLOOKUP($C108,MATRIX!$C$8:$C$128,MATRIX!G$8:G$128,)</f>
        <v>OTHER *</v>
      </c>
      <c r="H108" s="4" t="str">
        <f>_xlfn.XLOOKUP($C108,MATRIX!$C$8:$C$128,MATRIX!H$8:H$128,)</f>
        <v>OTHER *</v>
      </c>
      <c r="I108" s="4" t="str">
        <f>_xlfn.XLOOKUP($C108,MATRIX!$C$8:$C$128,MATRIX!I$8:I$128,)</f>
        <v>LOW</v>
      </c>
      <c r="J108" s="4" t="str">
        <f>_xlfn.XLOOKUP($C108,MATRIX!$C$8:$C$128,MATRIX!J$8:J$128,)</f>
        <v>MODERATE</v>
      </c>
      <c r="K108" s="4" t="str">
        <f>_xlfn.XLOOKUP($C108,MATRIX!$C$8:$C$128,MATRIX!K$8:K$128,)</f>
        <v>HIGH</v>
      </c>
      <c r="L108" s="4" t="str">
        <f>_xlfn.XLOOKUP($C108,MATRIX!$C$8:$C$128,MATRIX!L$8:L$128,)</f>
        <v>$$ MODERATE</v>
      </c>
      <c r="M108" s="4" t="str">
        <f>_xlfn.XLOOKUP($C108,MATRIX!$C$8:$C$128,MATRIX!M$8:M$128,)</f>
        <v>MODERATE REDUCTION</v>
      </c>
      <c r="N108" s="4" t="str">
        <f>_xlfn.XLOOKUP($C108,MATRIX!$C$8:$C$128,MATRIX!N$8:N$128,)</f>
        <v>MODERATE REDUCTION</v>
      </c>
      <c r="O108" s="4" t="str">
        <f>_xlfn.XLOOKUP($C108,MATRIX!$C$8:$C$128,MATRIX!O$8:O$128,)</f>
        <v>HIGH</v>
      </c>
      <c r="P108" s="4">
        <f>_xlfn.XLOOKUP($C108,MATRIX!$C$8:$C$128,MATRIX!P$8:P$128,)</f>
        <v>0</v>
      </c>
      <c r="Q108" s="4" t="str">
        <f>_xlfn.XLOOKUP($C108,MATRIX!$C$8:$C$128,MATRIX!Q$8:Q$128,)</f>
        <v>YES</v>
      </c>
      <c r="R108" s="4" t="str">
        <f>_xlfn.XLOOKUP($C108,MATRIX!$C$8:$C$128,MATRIX!R$8:R$128,)</f>
        <v>YES</v>
      </c>
      <c r="S108" s="4" t="str">
        <f>_xlfn.XLOOKUP($C108,MATRIX!$C$8:$C$128,MATRIX!S$8:S$128,)</f>
        <v>YES</v>
      </c>
      <c r="T108" s="4" t="str">
        <f>_xlfn.XLOOKUP($C108,MATRIX!$C$8:$C$128,MATRIX!T$8:T$128,)</f>
        <v>YES</v>
      </c>
      <c r="U108" s="4">
        <f>_xlfn.XLOOKUP($C108,MATRIX!$C$8:$C$128,MATRIX!U$8:U$128,)</f>
        <v>0</v>
      </c>
      <c r="V108" s="4" t="str">
        <f>_xlfn.XLOOKUP($C108,MATRIX!$C$8:$C$128,MATRIX!V$8:V$128,)</f>
        <v xml:space="preserve">To include comprehensive/coordinated design approach to existing pole lighting (16 of 24 on the front lawn to be recreated, Ashburton Park and Mount Vernon street have pole lights approximately 12), landscape lighting, and building lighting. </v>
      </c>
      <c r="W108" s="135" t="s">
        <v>500</v>
      </c>
    </row>
    <row r="109" spans="1:23" ht="43.5" x14ac:dyDescent="0.35">
      <c r="A109" s="40"/>
      <c r="B109" s="4" t="str">
        <f>_xlfn.XLOOKUP($C109,MATRIX!$C$8:$C$128,MATRIX!B$8:B$128,)</f>
        <v>SECURITY</v>
      </c>
      <c r="C109" s="145" t="s">
        <v>382</v>
      </c>
      <c r="D109" s="4" t="str">
        <f>_xlfn.XLOOKUP($C109,MATRIX!$C$8:$C$128,MATRIX!D$8:D$128,)</f>
        <v>Conduct a lighting study at the exterior of the building.</v>
      </c>
      <c r="E109" s="4" t="str">
        <f>_xlfn.XLOOKUP($C109,MATRIX!$C$8:$C$128,MATRIX!E$8:E$128,)</f>
        <v>STUDY / DOCUMENTATION</v>
      </c>
      <c r="F109" s="4" t="str">
        <f>_xlfn.XLOOKUP($C109,MATRIX!$C$8:$C$128,MATRIX!F$8:F$128,)</f>
        <v>1_HIGH &lt;5 years</v>
      </c>
      <c r="G109" s="4" t="str">
        <f>_xlfn.XLOOKUP($C109,MATRIX!$C$8:$C$128,MATRIX!G$8:G$128,)</f>
        <v>WHOLE BUILDING</v>
      </c>
      <c r="H109" s="4" t="str">
        <f>_xlfn.XLOOKUP($C109,MATRIX!$C$8:$C$128,MATRIX!H$8:H$128,)</f>
        <v>WHOLE BUILDING</v>
      </c>
      <c r="I109" s="4" t="str">
        <f>_xlfn.XLOOKUP($C109,MATRIX!$C$8:$C$128,MATRIX!I$8:I$128,)</f>
        <v>LOW</v>
      </c>
      <c r="J109" s="4" t="str">
        <f>_xlfn.XLOOKUP($C109,MATRIX!$C$8:$C$128,MATRIX!J$8:J$128,)</f>
        <v>LOW</v>
      </c>
      <c r="K109" s="4" t="str">
        <f>_xlfn.XLOOKUP($C109,MATRIX!$C$8:$C$128,MATRIX!K$8:K$128,)</f>
        <v>LOW</v>
      </c>
      <c r="L109" s="4" t="str">
        <f>_xlfn.XLOOKUP($C109,MATRIX!$C$8:$C$128,MATRIX!L$8:L$128,)</f>
        <v>$$ MODERATE</v>
      </c>
      <c r="M109" s="4" t="str">
        <f>_xlfn.XLOOKUP($C109,MATRIX!$C$8:$C$128,MATRIX!M$8:M$128,)</f>
        <v>MINIMAL IMPACT</v>
      </c>
      <c r="N109" s="4" t="str">
        <f>_xlfn.XLOOKUP($C109,MATRIX!$C$8:$C$128,MATRIX!N$8:N$128,)</f>
        <v>MODERATE REDUCTION</v>
      </c>
      <c r="O109" s="4" t="str">
        <f>_xlfn.XLOOKUP($C109,MATRIX!$C$8:$C$128,MATRIX!O$8:O$128,)</f>
        <v>N/A</v>
      </c>
      <c r="P109" s="4" t="str">
        <f>_xlfn.XLOOKUP($C109,MATRIX!$C$8:$C$128,MATRIX!P$8:P$128,)</f>
        <v>YES</v>
      </c>
      <c r="Q109" s="4" t="str">
        <f>_xlfn.XLOOKUP($C109,MATRIX!$C$8:$C$128,MATRIX!Q$8:Q$128,)</f>
        <v>YES</v>
      </c>
      <c r="R109" s="4" t="str">
        <f>_xlfn.XLOOKUP($C109,MATRIX!$C$8:$C$128,MATRIX!R$8:R$128,)</f>
        <v>YES</v>
      </c>
      <c r="S109" s="4" t="str">
        <f>_xlfn.XLOOKUP($C109,MATRIX!$C$8:$C$128,MATRIX!S$8:S$128,)</f>
        <v>NO</v>
      </c>
      <c r="T109" s="4" t="str">
        <f>_xlfn.XLOOKUP($C109,MATRIX!$C$8:$C$128,MATRIX!T$8:T$128,)</f>
        <v>YES</v>
      </c>
      <c r="U109" s="4" t="str">
        <f>_xlfn.XLOOKUP($C109,MATRIX!$C$8:$C$128,MATRIX!U$8:U$128,)</f>
        <v>ELECTRICAL</v>
      </c>
      <c r="V109" s="4">
        <f>_xlfn.XLOOKUP($C109,MATRIX!$C$8:$C$128,MATRIX!V$8:V$128,)</f>
        <v>0</v>
      </c>
      <c r="W109" s="4"/>
    </row>
    <row r="110" spans="1:23" x14ac:dyDescent="0.35">
      <c r="A110" s="40"/>
      <c r="B110" s="40"/>
      <c r="C110" s="145"/>
      <c r="D110" s="40"/>
      <c r="E110" s="40"/>
      <c r="F110" s="40"/>
      <c r="G110" s="40"/>
      <c r="H110" s="40"/>
      <c r="I110" s="40"/>
      <c r="J110" s="40"/>
      <c r="K110" s="40"/>
      <c r="L110" s="40"/>
      <c r="M110" s="40"/>
      <c r="N110" s="40"/>
      <c r="O110" s="40"/>
      <c r="P110" s="40"/>
      <c r="Q110" s="40"/>
      <c r="R110" s="40"/>
      <c r="S110" s="40"/>
      <c r="T110" s="40"/>
      <c r="U110" s="40"/>
      <c r="V110" s="40"/>
      <c r="W110" s="4"/>
    </row>
    <row r="111" spans="1:23" x14ac:dyDescent="0.35">
      <c r="A111" s="141" t="s">
        <v>501</v>
      </c>
      <c r="B111" s="141" t="s">
        <v>502</v>
      </c>
      <c r="C111" s="142"/>
      <c r="D111" s="143"/>
      <c r="E111" s="144"/>
      <c r="F111" s="144"/>
      <c r="G111" s="144"/>
      <c r="H111" s="144"/>
      <c r="I111" s="144"/>
      <c r="J111" s="144"/>
      <c r="K111" s="144"/>
      <c r="L111" s="144"/>
      <c r="M111" s="144"/>
      <c r="N111" s="144"/>
      <c r="O111" s="144"/>
      <c r="P111" s="144"/>
      <c r="Q111" s="144"/>
      <c r="R111" s="144"/>
      <c r="S111" s="144"/>
      <c r="T111" s="144"/>
      <c r="U111" s="144"/>
      <c r="V111" s="144"/>
      <c r="W111" s="143"/>
    </row>
    <row r="112" spans="1:23" ht="101.5" x14ac:dyDescent="0.35">
      <c r="A112" s="40"/>
      <c r="B112" s="4" t="str">
        <f>_xlfn.XLOOKUP($C112,MATRIX!$C$8:$C$128,MATRIX!B$8:B$128,)</f>
        <v>ACCESSIBILITY</v>
      </c>
      <c r="C112" s="145" t="s">
        <v>124</v>
      </c>
      <c r="D112" s="4" t="str">
        <f>_xlfn.XLOOKUP($C112,MATRIX!$C$8:$C$128,MATRIX!D$8:D$128,)</f>
        <v>Replace/repair noncompliant door hardware and nonfunctioning automatic door openers.</v>
      </c>
      <c r="E112" s="4" t="str">
        <f>_xlfn.XLOOKUP($C112,MATRIX!$C$8:$C$128,MATRIX!E$8:E$128,)</f>
        <v>DEFERRED MAINTENANCE</v>
      </c>
      <c r="F112" s="4" t="str">
        <f>_xlfn.XLOOKUP($C112,MATRIX!$C$8:$C$128,MATRIX!F$8:F$128,)</f>
        <v>1_HIGH &lt;5 years</v>
      </c>
      <c r="G112" s="4" t="str">
        <f>_xlfn.XLOOKUP($C112,MATRIX!$C$8:$C$128,MATRIX!G$8:G$128,)</f>
        <v>WHOLE BUILDING</v>
      </c>
      <c r="H112" s="4" t="str">
        <f>_xlfn.XLOOKUP($C112,MATRIX!$C$8:$C$128,MATRIX!H$8:H$128,)</f>
        <v>WHOLE BUILDING</v>
      </c>
      <c r="I112" s="4" t="str">
        <f>_xlfn.XLOOKUP($C112,MATRIX!$C$8:$C$128,MATRIX!I$8:I$128,)</f>
        <v>NONE</v>
      </c>
      <c r="J112" s="4" t="str">
        <f>_xlfn.XLOOKUP($C112,MATRIX!$C$8:$C$128,MATRIX!J$8:J$128,)</f>
        <v>MODERATE</v>
      </c>
      <c r="K112" s="4" t="str">
        <f>_xlfn.XLOOKUP($C112,MATRIX!$C$8:$C$128,MATRIX!K$8:K$128,)</f>
        <v>HIGH</v>
      </c>
      <c r="L112" s="4" t="str">
        <f>_xlfn.XLOOKUP($C112,MATRIX!$C$8:$C$128,MATRIX!L$8:L$128,)</f>
        <v>$ LOW</v>
      </c>
      <c r="M112" s="4" t="str">
        <f>_xlfn.XLOOKUP($C112,MATRIX!$C$8:$C$128,MATRIX!M$8:M$128,)</f>
        <v>N/A</v>
      </c>
      <c r="N112" s="4" t="str">
        <f>_xlfn.XLOOKUP($C112,MATRIX!$C$8:$C$128,MATRIX!N$8:N$128,)</f>
        <v>N/A</v>
      </c>
      <c r="O112" s="4" t="str">
        <f>_xlfn.XLOOKUP($C112,MATRIX!$C$8:$C$128,MATRIX!O$8:O$128,)</f>
        <v>N/A</v>
      </c>
      <c r="P112" s="4" t="str">
        <f>_xlfn.XLOOKUP($C112,MATRIX!$C$8:$C$128,MATRIX!P$8:P$128,)</f>
        <v>NO</v>
      </c>
      <c r="Q112" s="4" t="str">
        <f>_xlfn.XLOOKUP($C112,MATRIX!$C$8:$C$128,MATRIX!Q$8:Q$128,)</f>
        <v>YES</v>
      </c>
      <c r="R112" s="4" t="str">
        <f>_xlfn.XLOOKUP($C112,MATRIX!$C$8:$C$128,MATRIX!R$8:R$128,)</f>
        <v>YES</v>
      </c>
      <c r="S112" s="4" t="str">
        <f>_xlfn.XLOOKUP($C112,MATRIX!$C$8:$C$128,MATRIX!S$8:S$128,)</f>
        <v>YES</v>
      </c>
      <c r="T112" s="4" t="str">
        <f>_xlfn.XLOOKUP($C112,MATRIX!$C$8:$C$128,MATRIX!T$8:T$128,)</f>
        <v>YES</v>
      </c>
      <c r="U112" s="4">
        <f>_xlfn.XLOOKUP($C112,MATRIX!$C$8:$C$128,MATRIX!U$8:U$128,)</f>
        <v>0</v>
      </c>
      <c r="V112" s="4">
        <f>_xlfn.XLOOKUP($C112,MATRIX!$C$8:$C$128,MATRIX!V$8:V$128,)</f>
        <v>0</v>
      </c>
      <c r="W112" s="135" t="s">
        <v>503</v>
      </c>
    </row>
    <row r="113" spans="1:23" ht="58" x14ac:dyDescent="0.35">
      <c r="A113" s="40"/>
      <c r="B113" s="4" t="str">
        <f>_xlfn.XLOOKUP($C113,MATRIX!$C$8:$C$128,MATRIX!B$8:B$128,)</f>
        <v>ACCESSIBILITY</v>
      </c>
      <c r="C113" s="145" t="s">
        <v>126</v>
      </c>
      <c r="D113" s="4" t="str">
        <f>_xlfn.XLOOKUP($C113,MATRIX!$C$8:$C$128,MATRIX!D$8:D$128,)</f>
        <v>Install automatic openers on lift doors and reposition lift controls at wheelchair lift serving Doric Hall.</v>
      </c>
      <c r="E113" s="4" t="str">
        <f>_xlfn.XLOOKUP($C113,MATRIX!$C$8:$C$128,MATRIX!E$8:E$128,)</f>
        <v>UPGRADES / IMPROVEMENTS</v>
      </c>
      <c r="F113" s="4" t="str">
        <f>_xlfn.XLOOKUP($C113,MATRIX!$C$8:$C$128,MATRIX!F$8:F$128,)</f>
        <v>1_HIGH &lt;5 years</v>
      </c>
      <c r="G113" s="4" t="str">
        <f>_xlfn.XLOOKUP($C113,MATRIX!$C$8:$C$128,MATRIX!G$8:G$128,)</f>
        <v>BULFINCH</v>
      </c>
      <c r="H113" s="4" t="str">
        <f>_xlfn.XLOOKUP($C113,MATRIX!$C$8:$C$128,MATRIX!H$8:H$128,)</f>
        <v>L2</v>
      </c>
      <c r="I113" s="4" t="str">
        <f>_xlfn.XLOOKUP($C113,MATRIX!$C$8:$C$128,MATRIX!I$8:I$128,)</f>
        <v>NONE</v>
      </c>
      <c r="J113" s="4" t="str">
        <f>_xlfn.XLOOKUP($C113,MATRIX!$C$8:$C$128,MATRIX!J$8:J$128,)</f>
        <v>MODERATE</v>
      </c>
      <c r="K113" s="4" t="str">
        <f>_xlfn.XLOOKUP($C113,MATRIX!$C$8:$C$128,MATRIX!K$8:K$128,)</f>
        <v>MODERATE</v>
      </c>
      <c r="L113" s="4" t="str">
        <f>_xlfn.XLOOKUP($C113,MATRIX!$C$8:$C$128,MATRIX!L$8:L$128,)</f>
        <v>$ LOW</v>
      </c>
      <c r="M113" s="4" t="str">
        <f>_xlfn.XLOOKUP($C113,MATRIX!$C$8:$C$128,MATRIX!M$8:M$128,)</f>
        <v>N/A</v>
      </c>
      <c r="N113" s="4" t="str">
        <f>_xlfn.XLOOKUP($C113,MATRIX!$C$8:$C$128,MATRIX!N$8:N$128,)</f>
        <v>N/A</v>
      </c>
      <c r="O113" s="4" t="str">
        <f>_xlfn.XLOOKUP($C113,MATRIX!$C$8:$C$128,MATRIX!O$8:O$128,)</f>
        <v>N/A</v>
      </c>
      <c r="P113" s="4" t="str">
        <f>_xlfn.XLOOKUP($C113,MATRIX!$C$8:$C$128,MATRIX!P$8:P$128,)</f>
        <v>NO</v>
      </c>
      <c r="Q113" s="4" t="str">
        <f>_xlfn.XLOOKUP($C113,MATRIX!$C$8:$C$128,MATRIX!Q$8:Q$128,)</f>
        <v>NO</v>
      </c>
      <c r="R113" s="4" t="str">
        <f>_xlfn.XLOOKUP($C113,MATRIX!$C$8:$C$128,MATRIX!R$8:R$128,)</f>
        <v>NO</v>
      </c>
      <c r="S113" s="4" t="str">
        <f>_xlfn.XLOOKUP($C113,MATRIX!$C$8:$C$128,MATRIX!S$8:S$128,)</f>
        <v>YES</v>
      </c>
      <c r="T113" s="4" t="str">
        <f>_xlfn.XLOOKUP($C113,MATRIX!$C$8:$C$128,MATRIX!T$8:T$128,)</f>
        <v>NO</v>
      </c>
      <c r="U113" s="4">
        <f>_xlfn.XLOOKUP($C113,MATRIX!$C$8:$C$128,MATRIX!U$8:U$128,)</f>
        <v>0</v>
      </c>
      <c r="V113" s="4">
        <f>_xlfn.XLOOKUP($C113,MATRIX!$C$8:$C$128,MATRIX!V$8:V$128,)</f>
        <v>0</v>
      </c>
      <c r="W113" s="135" t="s">
        <v>504</v>
      </c>
    </row>
    <row r="114" spans="1:23" x14ac:dyDescent="0.35">
      <c r="A114" s="40"/>
      <c r="B114" s="40"/>
      <c r="C114" s="145"/>
      <c r="D114" s="40"/>
      <c r="E114" s="40"/>
      <c r="F114" s="40"/>
      <c r="G114" s="40"/>
      <c r="H114" s="40"/>
      <c r="I114" s="40"/>
      <c r="J114" s="40"/>
      <c r="K114" s="40"/>
      <c r="L114" s="40"/>
      <c r="M114" s="40"/>
      <c r="N114" s="40"/>
      <c r="O114" s="40"/>
      <c r="P114" s="40"/>
      <c r="Q114" s="40"/>
      <c r="R114" s="40"/>
      <c r="S114" s="40"/>
      <c r="T114" s="40"/>
      <c r="U114" s="40"/>
      <c r="V114" s="40"/>
      <c r="W114" s="4"/>
    </row>
    <row r="115" spans="1:23" x14ac:dyDescent="0.35">
      <c r="A115" s="141" t="s">
        <v>505</v>
      </c>
      <c r="B115" s="141" t="s">
        <v>506</v>
      </c>
      <c r="C115" s="142"/>
      <c r="D115" s="143"/>
      <c r="E115" s="144"/>
      <c r="F115" s="144"/>
      <c r="G115" s="144"/>
      <c r="H115" s="144"/>
      <c r="I115" s="144"/>
      <c r="J115" s="144"/>
      <c r="K115" s="144"/>
      <c r="L115" s="144"/>
      <c r="M115" s="144"/>
      <c r="N115" s="144"/>
      <c r="O115" s="144"/>
      <c r="P115" s="144"/>
      <c r="Q115" s="144"/>
      <c r="R115" s="144"/>
      <c r="S115" s="144"/>
      <c r="T115" s="144"/>
      <c r="U115" s="144"/>
      <c r="V115" s="144"/>
      <c r="W115" s="143"/>
    </row>
    <row r="116" spans="1:23" ht="43.5" x14ac:dyDescent="0.35">
      <c r="A116" s="40"/>
      <c r="B116" s="4" t="str">
        <f>_xlfn.XLOOKUP($C116,MATRIX!$C$8:$C$128,MATRIX!B$8:B$128,)</f>
        <v>ACCESSIBILITY</v>
      </c>
      <c r="C116" s="145" t="s">
        <v>120</v>
      </c>
      <c r="D116" s="4" t="str">
        <f>_xlfn.XLOOKUP($C116,MATRIX!$C$8:$C$128,MATRIX!D$8:D$128,)</f>
        <v>Third Floor accessible restroom.</v>
      </c>
      <c r="E116" s="4" t="str">
        <f>_xlfn.XLOOKUP($C116,MATRIX!$C$8:$C$128,MATRIX!E$8:E$128,)</f>
        <v>STUDY / DOCUMENTATION</v>
      </c>
      <c r="F116" s="4" t="str">
        <f>_xlfn.XLOOKUP($C116,MATRIX!$C$8:$C$128,MATRIX!F$8:F$128,)</f>
        <v>2_MID 5-10 years</v>
      </c>
      <c r="G116" s="4" t="str">
        <f>_xlfn.XLOOKUP($C116,MATRIX!$C$8:$C$128,MATRIX!G$8:G$128,)</f>
        <v>WHOLE BUILDING</v>
      </c>
      <c r="H116" s="4" t="str">
        <f>_xlfn.XLOOKUP($C116,MATRIX!$C$8:$C$128,MATRIX!H$8:H$128,)</f>
        <v>L3</v>
      </c>
      <c r="I116" s="4" t="str">
        <f>_xlfn.XLOOKUP($C116,MATRIX!$C$8:$C$128,MATRIX!I$8:I$128,)</f>
        <v>LOW</v>
      </c>
      <c r="J116" s="4" t="str">
        <f>_xlfn.XLOOKUP($C116,MATRIX!$C$8:$C$128,MATRIX!J$8:J$128,)</f>
        <v>MODERATE</v>
      </c>
      <c r="K116" s="4" t="str">
        <f>_xlfn.XLOOKUP($C116,MATRIX!$C$8:$C$128,MATRIX!K$8:K$128,)</f>
        <v>MODERATE</v>
      </c>
      <c r="L116" s="4" t="str">
        <f>_xlfn.XLOOKUP($C116,MATRIX!$C$8:$C$128,MATRIX!L$8:L$128,)</f>
        <v>$$ MODERATE</v>
      </c>
      <c r="M116" s="4" t="str">
        <f>_xlfn.XLOOKUP($C116,MATRIX!$C$8:$C$128,MATRIX!M$8:M$128,)</f>
        <v>MINIMAL IMPACT</v>
      </c>
      <c r="N116" s="4" t="str">
        <f>_xlfn.XLOOKUP($C116,MATRIX!$C$8:$C$128,MATRIX!N$8:N$128,)</f>
        <v>N/A</v>
      </c>
      <c r="O116" s="4" t="str">
        <f>_xlfn.XLOOKUP($C116,MATRIX!$C$8:$C$128,MATRIX!O$8:O$128,)</f>
        <v>N/A</v>
      </c>
      <c r="P116" s="4" t="str">
        <f>_xlfn.XLOOKUP($C116,MATRIX!$C$8:$C$128,MATRIX!P$8:P$128,)</f>
        <v>NO</v>
      </c>
      <c r="Q116" s="4" t="str">
        <f>_xlfn.XLOOKUP($C116,MATRIX!$C$8:$C$128,MATRIX!Q$8:Q$128,)</f>
        <v>NO</v>
      </c>
      <c r="R116" s="4" t="str">
        <f>_xlfn.XLOOKUP($C116,MATRIX!$C$8:$C$128,MATRIX!R$8:R$128,)</f>
        <v>NO</v>
      </c>
      <c r="S116" s="4" t="str">
        <f>_xlfn.XLOOKUP($C116,MATRIX!$C$8:$C$128,MATRIX!S$8:S$128,)</f>
        <v>YES</v>
      </c>
      <c r="T116" s="4" t="str">
        <f>_xlfn.XLOOKUP($C116,MATRIX!$C$8:$C$128,MATRIX!T$8:T$128,)</f>
        <v>NO</v>
      </c>
      <c r="U116" s="4">
        <f>_xlfn.XLOOKUP($C116,MATRIX!$C$8:$C$128,MATRIX!U$8:U$128,)</f>
        <v>0</v>
      </c>
      <c r="V116" s="4">
        <f>_xlfn.XLOOKUP($C116,MATRIX!$C$8:$C$128,MATRIX!V$8:V$128,)</f>
        <v>0</v>
      </c>
      <c r="W116" s="135" t="s">
        <v>507</v>
      </c>
    </row>
    <row r="117" spans="1:23" ht="43.5" x14ac:dyDescent="0.35">
      <c r="A117" s="40"/>
      <c r="B117" s="4" t="str">
        <f>_xlfn.XLOOKUP($C117,MATRIX!$C$8:$C$128,MATRIX!B$8:B$128,)</f>
        <v>ACCESSIBILITY</v>
      </c>
      <c r="C117" s="145" t="s">
        <v>122</v>
      </c>
      <c r="D117" s="4" t="str">
        <f>_xlfn.XLOOKUP($C117,MATRIX!$C$8:$C$128,MATRIX!D$8:D$128,)</f>
        <v>Fourth Floor accessible women's restroom.</v>
      </c>
      <c r="E117" s="4" t="str">
        <f>_xlfn.XLOOKUP($C117,MATRIX!$C$8:$C$128,MATRIX!E$8:E$128,)</f>
        <v>STUDY / DOCUMENTATION</v>
      </c>
      <c r="F117" s="4" t="str">
        <f>_xlfn.XLOOKUP($C117,MATRIX!$C$8:$C$128,MATRIX!F$8:F$128,)</f>
        <v>2_MID 5-10 years</v>
      </c>
      <c r="G117" s="4" t="str">
        <f>_xlfn.XLOOKUP($C117,MATRIX!$C$8:$C$128,MATRIX!G$8:G$128,)</f>
        <v>WHOLE BUILDING</v>
      </c>
      <c r="H117" s="4" t="str">
        <f>_xlfn.XLOOKUP($C117,MATRIX!$C$8:$C$128,MATRIX!H$8:H$128,)</f>
        <v>L4</v>
      </c>
      <c r="I117" s="4" t="str">
        <f>_xlfn.XLOOKUP($C117,MATRIX!$C$8:$C$128,MATRIX!I$8:I$128,)</f>
        <v>LOW</v>
      </c>
      <c r="J117" s="4" t="str">
        <f>_xlfn.XLOOKUP($C117,MATRIX!$C$8:$C$128,MATRIX!J$8:J$128,)</f>
        <v>MODERATE</v>
      </c>
      <c r="K117" s="4" t="str">
        <f>_xlfn.XLOOKUP($C117,MATRIX!$C$8:$C$128,MATRIX!K$8:K$128,)</f>
        <v>MODERATE</v>
      </c>
      <c r="L117" s="4" t="str">
        <f>_xlfn.XLOOKUP($C117,MATRIX!$C$8:$C$128,MATRIX!L$8:L$128,)</f>
        <v>$$ MODERATE</v>
      </c>
      <c r="M117" s="4" t="str">
        <f>_xlfn.XLOOKUP($C117,MATRIX!$C$8:$C$128,MATRIX!M$8:M$128,)</f>
        <v>MINIMAL IMPACT</v>
      </c>
      <c r="N117" s="4" t="str">
        <f>_xlfn.XLOOKUP($C117,MATRIX!$C$8:$C$128,MATRIX!N$8:N$128,)</f>
        <v>N/A</v>
      </c>
      <c r="O117" s="4" t="str">
        <f>_xlfn.XLOOKUP($C117,MATRIX!$C$8:$C$128,MATRIX!O$8:O$128,)</f>
        <v>N/A</v>
      </c>
      <c r="P117" s="4" t="str">
        <f>_xlfn.XLOOKUP($C117,MATRIX!$C$8:$C$128,MATRIX!P$8:P$128,)</f>
        <v>NO</v>
      </c>
      <c r="Q117" s="4" t="str">
        <f>_xlfn.XLOOKUP($C117,MATRIX!$C$8:$C$128,MATRIX!Q$8:Q$128,)</f>
        <v>NO</v>
      </c>
      <c r="R117" s="4" t="str">
        <f>_xlfn.XLOOKUP($C117,MATRIX!$C$8:$C$128,MATRIX!R$8:R$128,)</f>
        <v>NO</v>
      </c>
      <c r="S117" s="4" t="str">
        <f>_xlfn.XLOOKUP($C117,MATRIX!$C$8:$C$128,MATRIX!S$8:S$128,)</f>
        <v>YES</v>
      </c>
      <c r="T117" s="4" t="str">
        <f>_xlfn.XLOOKUP($C117,MATRIX!$C$8:$C$128,MATRIX!T$8:T$128,)</f>
        <v>NO</v>
      </c>
      <c r="U117" s="4">
        <f>_xlfn.XLOOKUP($C117,MATRIX!$C$8:$C$128,MATRIX!U$8:U$128,)</f>
        <v>0</v>
      </c>
      <c r="V117" s="4">
        <f>_xlfn.XLOOKUP($C117,MATRIX!$C$8:$C$128,MATRIX!V$8:V$128,)</f>
        <v>0</v>
      </c>
      <c r="W117" s="135" t="s">
        <v>507</v>
      </c>
    </row>
    <row r="118" spans="1:23" x14ac:dyDescent="0.35">
      <c r="A118" s="40"/>
      <c r="B118" s="40"/>
      <c r="C118" s="145"/>
      <c r="D118" s="40"/>
      <c r="E118" s="40"/>
      <c r="F118" s="40"/>
      <c r="G118" s="40"/>
      <c r="H118" s="40"/>
      <c r="I118" s="40"/>
      <c r="J118" s="40"/>
      <c r="K118" s="40"/>
      <c r="L118" s="40"/>
      <c r="M118" s="40"/>
      <c r="N118" s="40"/>
      <c r="O118" s="40"/>
      <c r="P118" s="40"/>
      <c r="Q118" s="40"/>
      <c r="R118" s="40"/>
      <c r="S118" s="40"/>
      <c r="T118" s="40"/>
      <c r="U118" s="40"/>
      <c r="V118" s="40"/>
      <c r="W118" s="4"/>
    </row>
    <row r="119" spans="1:23" x14ac:dyDescent="0.35">
      <c r="A119" s="141" t="s">
        <v>508</v>
      </c>
      <c r="B119" s="141" t="s">
        <v>509</v>
      </c>
      <c r="C119" s="142"/>
      <c r="D119" s="143"/>
      <c r="E119" s="144"/>
      <c r="F119" s="144"/>
      <c r="G119" s="144"/>
      <c r="H119" s="144"/>
      <c r="I119" s="144"/>
      <c r="J119" s="144"/>
      <c r="K119" s="144"/>
      <c r="L119" s="144"/>
      <c r="M119" s="144"/>
      <c r="N119" s="144"/>
      <c r="O119" s="144"/>
      <c r="P119" s="144"/>
      <c r="Q119" s="144"/>
      <c r="R119" s="144"/>
      <c r="S119" s="144"/>
      <c r="T119" s="144"/>
      <c r="U119" s="144"/>
      <c r="V119" s="144"/>
      <c r="W119" s="143"/>
    </row>
    <row r="120" spans="1:23" ht="232" x14ac:dyDescent="0.35">
      <c r="A120" s="40"/>
      <c r="B120" s="4" t="str">
        <f>_xlfn.XLOOKUP($C120,MATRIX!$C$8:$C$128,MATRIX!B$8:B$128,)</f>
        <v>ACCESSIBILITY</v>
      </c>
      <c r="C120" s="145" t="s">
        <v>113</v>
      </c>
      <c r="D120" s="4" t="str">
        <f>_xlfn.XLOOKUP($C120,MATRIX!$C$8:$C$128,MATRIX!D$8:D$128,)</f>
        <v>House Chamber accessibility upgrades as described in the study report dated January 15, 2016.</v>
      </c>
      <c r="E120" s="4" t="str">
        <f>_xlfn.XLOOKUP($C120,MATRIX!$C$8:$C$128,MATRIX!E$8:E$128,)</f>
        <v>STUDY / DOCUMENTATION</v>
      </c>
      <c r="F120" s="4" t="str">
        <f>_xlfn.XLOOKUP($C120,MATRIX!$C$8:$C$128,MATRIX!F$8:F$128,)</f>
        <v>2_MID 5-10 years</v>
      </c>
      <c r="G120" s="4" t="str">
        <f>_xlfn.XLOOKUP($C120,MATRIX!$C$8:$C$128,MATRIX!G$8:G$128,)</f>
        <v>WHOLE BUILDING</v>
      </c>
      <c r="H120" s="4" t="str">
        <f>_xlfn.XLOOKUP($C120,MATRIX!$C$8:$C$128,MATRIX!H$8:H$128,)</f>
        <v>L3</v>
      </c>
      <c r="I120" s="4" t="str">
        <f>_xlfn.XLOOKUP($C120,MATRIX!$C$8:$C$128,MATRIX!I$8:I$128,)</f>
        <v>HIGH</v>
      </c>
      <c r="J120" s="4" t="str">
        <f>_xlfn.XLOOKUP($C120,MATRIX!$C$8:$C$128,MATRIX!J$8:J$128,)</f>
        <v>MODERATE</v>
      </c>
      <c r="K120" s="4" t="str">
        <f>_xlfn.XLOOKUP($C120,MATRIX!$C$8:$C$128,MATRIX!K$8:K$128,)</f>
        <v>LOW</v>
      </c>
      <c r="L120" s="4" t="str">
        <f>_xlfn.XLOOKUP($C120,MATRIX!$C$8:$C$128,MATRIX!L$8:L$128,)</f>
        <v>$$$ HIGH</v>
      </c>
      <c r="M120" s="4" t="str">
        <f>_xlfn.XLOOKUP($C120,MATRIX!$C$8:$C$128,MATRIX!M$8:M$128,)</f>
        <v>MINIMAL IMPACT</v>
      </c>
      <c r="N120" s="4" t="str">
        <f>_xlfn.XLOOKUP($C120,MATRIX!$C$8:$C$128,MATRIX!N$8:N$128,)</f>
        <v>N/A</v>
      </c>
      <c r="O120" s="4" t="str">
        <f>_xlfn.XLOOKUP($C120,MATRIX!$C$8:$C$128,MATRIX!O$8:O$128,)</f>
        <v>N/A</v>
      </c>
      <c r="P120" s="4" t="str">
        <f>_xlfn.XLOOKUP($C120,MATRIX!$C$8:$C$128,MATRIX!P$8:P$128,)</f>
        <v>NO</v>
      </c>
      <c r="Q120" s="4" t="str">
        <f>_xlfn.XLOOKUP($C120,MATRIX!$C$8:$C$128,MATRIX!Q$8:Q$128,)</f>
        <v>NO</v>
      </c>
      <c r="R120" s="4" t="str">
        <f>_xlfn.XLOOKUP($C120,MATRIX!$C$8:$C$128,MATRIX!R$8:R$128,)</f>
        <v>YES</v>
      </c>
      <c r="S120" s="4" t="str">
        <f>_xlfn.XLOOKUP($C120,MATRIX!$C$8:$C$128,MATRIX!S$8:S$128,)</f>
        <v>YES</v>
      </c>
      <c r="T120" s="4" t="str">
        <f>_xlfn.XLOOKUP($C120,MATRIX!$C$8:$C$128,MATRIX!T$8:T$128,)</f>
        <v>YES</v>
      </c>
      <c r="U120" s="4">
        <f>_xlfn.XLOOKUP($C120,MATRIX!$C$8:$C$128,MATRIX!U$8:U$128,)</f>
        <v>0</v>
      </c>
      <c r="V120" s="4">
        <f>_xlfn.XLOOKUP($C120,MATRIX!$C$8:$C$128,MATRIX!V$8:V$128,)</f>
        <v>0</v>
      </c>
      <c r="W120" s="135" t="s">
        <v>510</v>
      </c>
    </row>
    <row r="121" spans="1:23" x14ac:dyDescent="0.35">
      <c r="A121" s="40"/>
      <c r="B121" s="40"/>
      <c r="C121" s="145"/>
      <c r="D121" s="40"/>
      <c r="E121" s="40"/>
      <c r="F121" s="40"/>
      <c r="G121" s="40"/>
      <c r="H121" s="40"/>
      <c r="I121" s="40"/>
      <c r="J121" s="40"/>
      <c r="K121" s="40"/>
      <c r="L121" s="40"/>
      <c r="M121" s="40"/>
      <c r="N121" s="40"/>
      <c r="O121" s="40"/>
      <c r="P121" s="40"/>
      <c r="Q121" s="40"/>
      <c r="R121" s="40"/>
      <c r="S121" s="40"/>
      <c r="T121" s="40"/>
      <c r="U121" s="40"/>
      <c r="V121" s="40"/>
      <c r="W121" s="4"/>
    </row>
    <row r="122" spans="1:23" x14ac:dyDescent="0.35">
      <c r="A122" s="141" t="s">
        <v>511</v>
      </c>
      <c r="B122" s="141" t="s">
        <v>512</v>
      </c>
      <c r="C122" s="142"/>
      <c r="D122" s="143"/>
      <c r="E122" s="144"/>
      <c r="F122" s="144"/>
      <c r="G122" s="144"/>
      <c r="H122" s="144"/>
      <c r="I122" s="144"/>
      <c r="J122" s="144"/>
      <c r="K122" s="144"/>
      <c r="L122" s="144"/>
      <c r="M122" s="144"/>
      <c r="N122" s="144"/>
      <c r="O122" s="144"/>
      <c r="P122" s="144"/>
      <c r="Q122" s="144"/>
      <c r="R122" s="144"/>
      <c r="S122" s="144"/>
      <c r="T122" s="144"/>
      <c r="U122" s="144"/>
      <c r="V122" s="144"/>
      <c r="W122" s="143"/>
    </row>
    <row r="123" spans="1:23" ht="43.5" x14ac:dyDescent="0.35">
      <c r="A123" s="40"/>
      <c r="B123" s="4" t="str">
        <f>_xlfn.XLOOKUP($C123,MATRIX!$C$8:$C$128,MATRIX!B$8:B$128,)</f>
        <v>ACCESSIBILITY</v>
      </c>
      <c r="C123" s="145" t="s">
        <v>96</v>
      </c>
      <c r="D123" s="4" t="str">
        <f>_xlfn.XLOOKUP($C123,MATRIX!$C$8:$C$128,MATRIX!D$8:D$128,)</f>
        <v>Gardner Auditorium accessible toilet room(s).</v>
      </c>
      <c r="E123" s="4" t="str">
        <f>_xlfn.XLOOKUP($C123,MATRIX!$C$8:$C$128,MATRIX!E$8:E$128,)</f>
        <v>STUDY / DOCUMENTATION</v>
      </c>
      <c r="F123" s="4" t="str">
        <f>_xlfn.XLOOKUP($C123,MATRIX!$C$8:$C$128,MATRIX!F$8:F$128,)</f>
        <v>2_MID 5-10 years</v>
      </c>
      <c r="G123" s="4" t="str">
        <f>_xlfn.XLOOKUP($C123,MATRIX!$C$8:$C$128,MATRIX!G$8:G$128,)</f>
        <v>EAST WING</v>
      </c>
      <c r="H123" s="4" t="str">
        <f>_xlfn.XLOOKUP($C123,MATRIX!$C$8:$C$128,MATRIX!H$8:H$128,)</f>
        <v>BASEMENT</v>
      </c>
      <c r="I123" s="4" t="str">
        <f>_xlfn.XLOOKUP($C123,MATRIX!$C$8:$C$128,MATRIX!I$8:I$128,)</f>
        <v>MODERATE</v>
      </c>
      <c r="J123" s="4" t="str">
        <f>_xlfn.XLOOKUP($C123,MATRIX!$C$8:$C$128,MATRIX!J$8:J$128,)</f>
        <v>MODERATE</v>
      </c>
      <c r="K123" s="4" t="str">
        <f>_xlfn.XLOOKUP($C123,MATRIX!$C$8:$C$128,MATRIX!K$8:K$128,)</f>
        <v>MODERATE</v>
      </c>
      <c r="L123" s="4" t="str">
        <f>_xlfn.XLOOKUP($C123,MATRIX!$C$8:$C$128,MATRIX!L$8:L$128,)</f>
        <v>$$ MODERATE</v>
      </c>
      <c r="M123" s="4" t="str">
        <f>_xlfn.XLOOKUP($C123,MATRIX!$C$8:$C$128,MATRIX!M$8:M$128,)</f>
        <v>MINIMAL IMPACT</v>
      </c>
      <c r="N123" s="4" t="str">
        <f>_xlfn.XLOOKUP($C123,MATRIX!$C$8:$C$128,MATRIX!N$8:N$128,)</f>
        <v>N/A</v>
      </c>
      <c r="O123" s="4" t="str">
        <f>_xlfn.XLOOKUP($C123,MATRIX!$C$8:$C$128,MATRIX!O$8:O$128,)</f>
        <v>N/A</v>
      </c>
      <c r="P123" s="4" t="str">
        <f>_xlfn.XLOOKUP($C123,MATRIX!$C$8:$C$128,MATRIX!P$8:P$128,)</f>
        <v>NO</v>
      </c>
      <c r="Q123" s="4" t="str">
        <f>_xlfn.XLOOKUP($C123,MATRIX!$C$8:$C$128,MATRIX!Q$8:Q$128,)</f>
        <v>NO</v>
      </c>
      <c r="R123" s="4" t="str">
        <f>_xlfn.XLOOKUP($C123,MATRIX!$C$8:$C$128,MATRIX!R$8:R$128,)</f>
        <v>NO</v>
      </c>
      <c r="S123" s="4" t="str">
        <f>_xlfn.XLOOKUP($C123,MATRIX!$C$8:$C$128,MATRIX!S$8:S$128,)</f>
        <v>YES</v>
      </c>
      <c r="T123" s="4" t="str">
        <f>_xlfn.XLOOKUP($C123,MATRIX!$C$8:$C$128,MATRIX!T$8:T$128,)</f>
        <v>NO</v>
      </c>
      <c r="U123" s="4">
        <f>_xlfn.XLOOKUP($C123,MATRIX!$C$8:$C$128,MATRIX!U$8:U$128,)</f>
        <v>0</v>
      </c>
      <c r="V123" s="4">
        <f>_xlfn.XLOOKUP($C123,MATRIX!$C$8:$C$128,MATRIX!V$8:V$128,)</f>
        <v>0</v>
      </c>
      <c r="W123" s="135" t="s">
        <v>507</v>
      </c>
    </row>
    <row r="124" spans="1:23" ht="217.5" x14ac:dyDescent="0.35">
      <c r="A124" s="40"/>
      <c r="B124" s="4" t="str">
        <f>_xlfn.XLOOKUP($C124,MATRIX!$C$8:$C$128,MATRIX!B$8:B$128,)</f>
        <v>ACCESSIBILITY</v>
      </c>
      <c r="C124" s="145" t="s">
        <v>108</v>
      </c>
      <c r="D124" s="4" t="str">
        <f>_xlfn.XLOOKUP($C124,MATRIX!$C$8:$C$128,MATRIX!D$8:D$128,)</f>
        <v>Gardner Auditorium accessibility upgrades as recommended by DCAMM Project Number BSB2301, dated August 23, 2024.</v>
      </c>
      <c r="E124" s="4" t="str">
        <f>_xlfn.XLOOKUP($C124,MATRIX!$C$8:$C$128,MATRIX!E$8:E$128,)</f>
        <v>STUDY / DOCUMENTATION</v>
      </c>
      <c r="F124" s="4" t="str">
        <f>_xlfn.XLOOKUP($C124,MATRIX!$C$8:$C$128,MATRIX!F$8:F$128,)</f>
        <v>2_MID 5-10 years</v>
      </c>
      <c r="G124" s="4" t="str">
        <f>_xlfn.XLOOKUP($C124,MATRIX!$C$8:$C$128,MATRIX!G$8:G$128,)</f>
        <v>EAST WING</v>
      </c>
      <c r="H124" s="4" t="str">
        <f>_xlfn.XLOOKUP($C124,MATRIX!$C$8:$C$128,MATRIX!H$8:H$128,)</f>
        <v>BASEMENT</v>
      </c>
      <c r="I124" s="4" t="str">
        <f>_xlfn.XLOOKUP($C124,MATRIX!$C$8:$C$128,MATRIX!I$8:I$128,)</f>
        <v>MODERATE</v>
      </c>
      <c r="J124" s="4" t="str">
        <f>_xlfn.XLOOKUP($C124,MATRIX!$C$8:$C$128,MATRIX!J$8:J$128,)</f>
        <v>MODERATE</v>
      </c>
      <c r="K124" s="4" t="str">
        <f>_xlfn.XLOOKUP($C124,MATRIX!$C$8:$C$128,MATRIX!K$8:K$128,)</f>
        <v>MODERATE</v>
      </c>
      <c r="L124" s="4" t="str">
        <f>_xlfn.XLOOKUP($C124,MATRIX!$C$8:$C$128,MATRIX!L$8:L$128,)</f>
        <v>$$$ HIGH</v>
      </c>
      <c r="M124" s="4" t="str">
        <f>_xlfn.XLOOKUP($C124,MATRIX!$C$8:$C$128,MATRIX!M$8:M$128,)</f>
        <v>MINIMAL IMPACT</v>
      </c>
      <c r="N124" s="4" t="str">
        <f>_xlfn.XLOOKUP($C124,MATRIX!$C$8:$C$128,MATRIX!N$8:N$128,)</f>
        <v>N/A</v>
      </c>
      <c r="O124" s="4" t="str">
        <f>_xlfn.XLOOKUP($C124,MATRIX!$C$8:$C$128,MATRIX!O$8:O$128,)</f>
        <v>N/A</v>
      </c>
      <c r="P124" s="4" t="str">
        <f>_xlfn.XLOOKUP($C124,MATRIX!$C$8:$C$128,MATRIX!P$8:P$128,)</f>
        <v>NO</v>
      </c>
      <c r="Q124" s="4" t="str">
        <f>_xlfn.XLOOKUP($C124,MATRIX!$C$8:$C$128,MATRIX!Q$8:Q$128,)</f>
        <v>NO</v>
      </c>
      <c r="R124" s="4" t="str">
        <f>_xlfn.XLOOKUP($C124,MATRIX!$C$8:$C$128,MATRIX!R$8:R$128,)</f>
        <v>YES</v>
      </c>
      <c r="S124" s="4" t="str">
        <f>_xlfn.XLOOKUP($C124,MATRIX!$C$8:$C$128,MATRIX!S$8:S$128,)</f>
        <v>YES</v>
      </c>
      <c r="T124" s="4" t="str">
        <f>_xlfn.XLOOKUP($C124,MATRIX!$C$8:$C$128,MATRIX!T$8:T$128,)</f>
        <v>YES</v>
      </c>
      <c r="U124" s="4">
        <f>_xlfn.XLOOKUP($C124,MATRIX!$C$8:$C$128,MATRIX!U$8:U$128,)</f>
        <v>0</v>
      </c>
      <c r="V124" s="4">
        <f>_xlfn.XLOOKUP($C124,MATRIX!$C$8:$C$128,MATRIX!V$8:V$128,)</f>
        <v>0</v>
      </c>
      <c r="W124" s="135" t="s">
        <v>513</v>
      </c>
    </row>
    <row r="125" spans="1:23" x14ac:dyDescent="0.35">
      <c r="A125" s="40"/>
      <c r="B125" s="40"/>
      <c r="C125" s="145"/>
      <c r="D125" s="40"/>
      <c r="E125" s="40"/>
      <c r="F125" s="40"/>
      <c r="G125" s="40"/>
      <c r="H125" s="40"/>
      <c r="I125" s="40"/>
      <c r="J125" s="40"/>
      <c r="K125" s="40"/>
      <c r="L125" s="40"/>
      <c r="M125" s="40"/>
      <c r="N125" s="40"/>
      <c r="O125" s="40"/>
      <c r="P125" s="40"/>
      <c r="Q125" s="40"/>
      <c r="R125" s="40"/>
      <c r="S125" s="40"/>
      <c r="T125" s="40"/>
      <c r="U125" s="40"/>
      <c r="V125" s="40"/>
      <c r="W125" s="4"/>
    </row>
    <row r="126" spans="1:23" x14ac:dyDescent="0.35">
      <c r="A126" s="141" t="s">
        <v>514</v>
      </c>
      <c r="B126" s="141" t="s">
        <v>515</v>
      </c>
      <c r="C126" s="142"/>
      <c r="D126" s="143"/>
      <c r="E126" s="144"/>
      <c r="F126" s="144"/>
      <c r="G126" s="144"/>
      <c r="H126" s="144"/>
      <c r="I126" s="144"/>
      <c r="J126" s="144"/>
      <c r="K126" s="144"/>
      <c r="L126" s="144"/>
      <c r="M126" s="144"/>
      <c r="N126" s="144"/>
      <c r="O126" s="144"/>
      <c r="P126" s="144"/>
      <c r="Q126" s="144"/>
      <c r="R126" s="144"/>
      <c r="S126" s="144"/>
      <c r="T126" s="144"/>
      <c r="U126" s="144"/>
      <c r="V126" s="144"/>
      <c r="W126" s="143"/>
    </row>
    <row r="127" spans="1:23" ht="42.75" customHeight="1" x14ac:dyDescent="0.35">
      <c r="A127" s="40"/>
      <c r="B127" s="4" t="str">
        <f>_xlfn.XLOOKUP($C127,MATRIX!$C$8:$C$128,MATRIX!B$8:B$128,)</f>
        <v>ACCESSIBILITY</v>
      </c>
      <c r="C127" s="145" t="s">
        <v>116</v>
      </c>
      <c r="D127" s="4" t="str">
        <f>_xlfn.XLOOKUP($C127,MATRIX!$C$8:$C$128,MATRIX!D$8:D$128,)</f>
        <v>Accessibility to 427, 436, and 462. Consider wheelchair lifts.</v>
      </c>
      <c r="E127" s="4" t="str">
        <f>_xlfn.XLOOKUP($C127,MATRIX!$C$8:$C$128,MATRIX!E$8:E$128,)</f>
        <v>STUDY / DOCUMENTATION</v>
      </c>
      <c r="F127" s="4" t="str">
        <f>_xlfn.XLOOKUP($C127,MATRIX!$C$8:$C$128,MATRIX!F$8:F$128,)</f>
        <v>2_MID 5-10 years</v>
      </c>
      <c r="G127" s="4" t="str">
        <f>_xlfn.XLOOKUP($C127,MATRIX!$C$8:$C$128,MATRIX!G$8:G$128,)</f>
        <v>ANNEX</v>
      </c>
      <c r="H127" s="4" t="str">
        <f>_xlfn.XLOOKUP($C127,MATRIX!$C$8:$C$128,MATRIX!H$8:H$128,)</f>
        <v>L4</v>
      </c>
      <c r="I127" s="4" t="str">
        <f>_xlfn.XLOOKUP($C127,MATRIX!$C$8:$C$128,MATRIX!I$8:I$128,)</f>
        <v>LOW</v>
      </c>
      <c r="J127" s="4" t="str">
        <f>_xlfn.XLOOKUP($C127,MATRIX!$C$8:$C$128,MATRIX!J$8:J$128,)</f>
        <v>LOW</v>
      </c>
      <c r="K127" s="4" t="str">
        <f>_xlfn.XLOOKUP($C127,MATRIX!$C$8:$C$128,MATRIX!K$8:K$128,)</f>
        <v>MODERATE</v>
      </c>
      <c r="L127" s="4" t="str">
        <f>_xlfn.XLOOKUP($C127,MATRIX!$C$8:$C$128,MATRIX!L$8:L$128,)</f>
        <v>$$ MODERATE</v>
      </c>
      <c r="M127" s="4" t="str">
        <f>_xlfn.XLOOKUP($C127,MATRIX!$C$8:$C$128,MATRIX!M$8:M$128,)</f>
        <v>MINIMAL IMPACT</v>
      </c>
      <c r="N127" s="4" t="str">
        <f>_xlfn.XLOOKUP($C127,MATRIX!$C$8:$C$128,MATRIX!N$8:N$128,)</f>
        <v>N/A</v>
      </c>
      <c r="O127" s="4" t="str">
        <f>_xlfn.XLOOKUP($C127,MATRIX!$C$8:$C$128,MATRIX!O$8:O$128,)</f>
        <v>N/A</v>
      </c>
      <c r="P127" s="4" t="str">
        <f>_xlfn.XLOOKUP($C127,MATRIX!$C$8:$C$128,MATRIX!P$8:P$128,)</f>
        <v>NO</v>
      </c>
      <c r="Q127" s="4" t="str">
        <f>_xlfn.XLOOKUP($C127,MATRIX!$C$8:$C$128,MATRIX!Q$8:Q$128,)</f>
        <v>NO</v>
      </c>
      <c r="R127" s="4" t="str">
        <f>_xlfn.XLOOKUP($C127,MATRIX!$C$8:$C$128,MATRIX!R$8:R$128,)</f>
        <v>NO</v>
      </c>
      <c r="S127" s="4" t="str">
        <f>_xlfn.XLOOKUP($C127,MATRIX!$C$8:$C$128,MATRIX!S$8:S$128,)</f>
        <v>YES</v>
      </c>
      <c r="T127" s="4" t="str">
        <f>_xlfn.XLOOKUP($C127,MATRIX!$C$8:$C$128,MATRIX!T$8:T$128,)</f>
        <v>YES</v>
      </c>
      <c r="U127" s="4">
        <f>_xlfn.XLOOKUP($C127,MATRIX!$C$8:$C$128,MATRIX!U$8:U$128,)</f>
        <v>0</v>
      </c>
      <c r="V127" s="4">
        <f>_xlfn.XLOOKUP($C127,MATRIX!$C$8:$C$128,MATRIX!V$8:V$128,)</f>
        <v>0</v>
      </c>
      <c r="W127" s="135" t="s">
        <v>516</v>
      </c>
    </row>
    <row r="128" spans="1:23" x14ac:dyDescent="0.35">
      <c r="A128" s="40"/>
      <c r="B128" s="40"/>
      <c r="C128" s="145"/>
      <c r="D128" s="40"/>
      <c r="E128" s="40"/>
      <c r="F128" s="40"/>
      <c r="G128" s="40"/>
      <c r="H128" s="40"/>
      <c r="I128" s="40"/>
      <c r="J128" s="40"/>
      <c r="K128" s="40"/>
      <c r="L128" s="40"/>
      <c r="M128" s="40"/>
      <c r="N128" s="40"/>
      <c r="O128" s="40"/>
      <c r="P128" s="40"/>
      <c r="Q128" s="40"/>
      <c r="R128" s="40"/>
      <c r="S128" s="40"/>
      <c r="T128" s="40"/>
      <c r="U128" s="40"/>
      <c r="V128" s="40"/>
      <c r="W128" s="4"/>
    </row>
    <row r="129" spans="1:23" x14ac:dyDescent="0.35">
      <c r="A129" s="141" t="s">
        <v>517</v>
      </c>
      <c r="B129" s="141" t="s">
        <v>518</v>
      </c>
      <c r="C129" s="142"/>
      <c r="D129" s="143"/>
      <c r="E129" s="144"/>
      <c r="F129" s="144"/>
      <c r="G129" s="144"/>
      <c r="H129" s="144"/>
      <c r="I129" s="144"/>
      <c r="J129" s="144"/>
      <c r="K129" s="144"/>
      <c r="L129" s="144"/>
      <c r="M129" s="144"/>
      <c r="N129" s="144"/>
      <c r="O129" s="144"/>
      <c r="P129" s="144"/>
      <c r="Q129" s="144"/>
      <c r="R129" s="144"/>
      <c r="S129" s="144"/>
      <c r="T129" s="144"/>
      <c r="U129" s="144"/>
      <c r="V129" s="144"/>
      <c r="W129" s="143"/>
    </row>
    <row r="130" spans="1:23" ht="87" x14ac:dyDescent="0.35">
      <c r="A130" s="40"/>
      <c r="B130" s="4" t="str">
        <f>_xlfn.XLOOKUP($C130,MATRIX!$C$8:$C$128,MATRIX!B$8:B$128,)</f>
        <v>ACCESSIBILITY</v>
      </c>
      <c r="C130" s="145" t="s">
        <v>118</v>
      </c>
      <c r="D130" s="4" t="str">
        <f>_xlfn.XLOOKUP($C130,MATRIX!$C$8:$C$128,MATRIX!D$8:D$128,)</f>
        <v>Improve wayfinding signage at interior from Ashburton Park entrance to various public function areas, including signs indicating locations of accessible restrooms.</v>
      </c>
      <c r="E130" s="4" t="str">
        <f>_xlfn.XLOOKUP($C130,MATRIX!$C$8:$C$128,MATRIX!E$8:E$128,)</f>
        <v>UPGRADES / IMPROVEMENTS</v>
      </c>
      <c r="F130" s="4" t="str">
        <f>_xlfn.XLOOKUP($C130,MATRIX!$C$8:$C$128,MATRIX!F$8:F$128,)</f>
        <v>2_MID 5-10 years</v>
      </c>
      <c r="G130" s="4" t="str">
        <f>_xlfn.XLOOKUP($C130,MATRIX!$C$8:$C$128,MATRIX!G$8:G$128,)</f>
        <v>WHOLE BUILDING</v>
      </c>
      <c r="H130" s="4" t="str">
        <f>_xlfn.XLOOKUP($C130,MATRIX!$C$8:$C$128,MATRIX!H$8:H$128,)</f>
        <v>WHOLE BUILDING</v>
      </c>
      <c r="I130" s="4" t="str">
        <f>_xlfn.XLOOKUP($C130,MATRIX!$C$8:$C$128,MATRIX!I$8:I$128,)</f>
        <v>NONE</v>
      </c>
      <c r="J130" s="4" t="str">
        <f>_xlfn.XLOOKUP($C130,MATRIX!$C$8:$C$128,MATRIX!J$8:J$128,)</f>
        <v>MODERATE</v>
      </c>
      <c r="K130" s="4" t="str">
        <f>_xlfn.XLOOKUP($C130,MATRIX!$C$8:$C$128,MATRIX!K$8:K$128,)</f>
        <v>HIGH</v>
      </c>
      <c r="L130" s="4" t="str">
        <f>_xlfn.XLOOKUP($C130,MATRIX!$C$8:$C$128,MATRIX!L$8:L$128,)</f>
        <v>$ LOW</v>
      </c>
      <c r="M130" s="4" t="str">
        <f>_xlfn.XLOOKUP($C130,MATRIX!$C$8:$C$128,MATRIX!M$8:M$128,)</f>
        <v>N/A</v>
      </c>
      <c r="N130" s="4" t="str">
        <f>_xlfn.XLOOKUP($C130,MATRIX!$C$8:$C$128,MATRIX!N$8:N$128,)</f>
        <v>N/A</v>
      </c>
      <c r="O130" s="4" t="str">
        <f>_xlfn.XLOOKUP($C130,MATRIX!$C$8:$C$128,MATRIX!O$8:O$128,)</f>
        <v>N/A</v>
      </c>
      <c r="P130" s="4" t="str">
        <f>_xlfn.XLOOKUP($C130,MATRIX!$C$8:$C$128,MATRIX!P$8:P$128,)</f>
        <v>NO</v>
      </c>
      <c r="Q130" s="4" t="str">
        <f>_xlfn.XLOOKUP($C130,MATRIX!$C$8:$C$128,MATRIX!Q$8:Q$128,)</f>
        <v>NO</v>
      </c>
      <c r="R130" s="4" t="str">
        <f>_xlfn.XLOOKUP($C130,MATRIX!$C$8:$C$128,MATRIX!R$8:R$128,)</f>
        <v>NO</v>
      </c>
      <c r="S130" s="4" t="str">
        <f>_xlfn.XLOOKUP($C130,MATRIX!$C$8:$C$128,MATRIX!S$8:S$128,)</f>
        <v>YES</v>
      </c>
      <c r="T130" s="4" t="str">
        <f>_xlfn.XLOOKUP($C130,MATRIX!$C$8:$C$128,MATRIX!T$8:T$128,)</f>
        <v>NO</v>
      </c>
      <c r="U130" s="4">
        <f>_xlfn.XLOOKUP($C130,MATRIX!$C$8:$C$128,MATRIX!U$8:U$128,)</f>
        <v>0</v>
      </c>
      <c r="V130" s="4">
        <f>_xlfn.XLOOKUP($C130,MATRIX!$C$8:$C$128,MATRIX!V$8:V$128,)</f>
        <v>0</v>
      </c>
      <c r="W130" s="135" t="s">
        <v>519</v>
      </c>
    </row>
    <row r="131" spans="1:23" ht="58" x14ac:dyDescent="0.35">
      <c r="A131" s="40"/>
      <c r="B131" s="4" t="str">
        <f>_xlfn.XLOOKUP($C131,MATRIX!$C$8:$C$128,MATRIX!B$8:B$128,)</f>
        <v>ACCESSIBILITY</v>
      </c>
      <c r="C131" s="145" t="s">
        <v>132</v>
      </c>
      <c r="D131" s="4" t="str">
        <f>_xlfn.XLOOKUP($C131,MATRIX!$C$8:$C$128,MATRIX!D$8:D$128,)</f>
        <v>Upgrade handrails at stairs as described in Stairwell Study by IHCD dated March 13, 2018.</v>
      </c>
      <c r="E131" s="4" t="str">
        <f>_xlfn.XLOOKUP($C131,MATRIX!$C$8:$C$128,MATRIX!E$8:E$128,)</f>
        <v>UPGRADES / IMPROVEMENTS</v>
      </c>
      <c r="F131" s="4" t="str">
        <f>_xlfn.XLOOKUP($C131,MATRIX!$C$8:$C$128,MATRIX!F$8:F$128,)</f>
        <v>2_MID 5-10 years</v>
      </c>
      <c r="G131" s="4" t="str">
        <f>_xlfn.XLOOKUP($C131,MATRIX!$C$8:$C$128,MATRIX!G$8:G$128,)</f>
        <v>WHOLE BUILDING</v>
      </c>
      <c r="H131" s="4" t="str">
        <f>_xlfn.XLOOKUP($C131,MATRIX!$C$8:$C$128,MATRIX!H$8:H$128,)</f>
        <v>WHOLE BUILDING</v>
      </c>
      <c r="I131" s="4" t="str">
        <f>_xlfn.XLOOKUP($C131,MATRIX!$C$8:$C$128,MATRIX!I$8:I$128,)</f>
        <v>LOW</v>
      </c>
      <c r="J131" s="4" t="str">
        <f>_xlfn.XLOOKUP($C131,MATRIX!$C$8:$C$128,MATRIX!J$8:J$128,)</f>
        <v>MODERATE</v>
      </c>
      <c r="K131" s="4" t="str">
        <f>_xlfn.XLOOKUP($C131,MATRIX!$C$8:$C$128,MATRIX!K$8:K$128,)</f>
        <v>MODERATE</v>
      </c>
      <c r="L131" s="4" t="str">
        <f>_xlfn.XLOOKUP($C131,MATRIX!$C$8:$C$128,MATRIX!L$8:L$128,)</f>
        <v>$$ MODERATE</v>
      </c>
      <c r="M131" s="4" t="str">
        <f>_xlfn.XLOOKUP($C131,MATRIX!$C$8:$C$128,MATRIX!M$8:M$128,)</f>
        <v>N/A</v>
      </c>
      <c r="N131" s="4" t="str">
        <f>_xlfn.XLOOKUP($C131,MATRIX!$C$8:$C$128,MATRIX!N$8:N$128,)</f>
        <v>N/A</v>
      </c>
      <c r="O131" s="4" t="str">
        <f>_xlfn.XLOOKUP($C131,MATRIX!$C$8:$C$128,MATRIX!O$8:O$128,)</f>
        <v>N/A</v>
      </c>
      <c r="P131" s="4" t="str">
        <f>_xlfn.XLOOKUP($C131,MATRIX!$C$8:$C$128,MATRIX!P$8:P$128,)</f>
        <v>NO</v>
      </c>
      <c r="Q131" s="4" t="str">
        <f>_xlfn.XLOOKUP($C131,MATRIX!$C$8:$C$128,MATRIX!Q$8:Q$128,)</f>
        <v>NO</v>
      </c>
      <c r="R131" s="4" t="str">
        <f>_xlfn.XLOOKUP($C131,MATRIX!$C$8:$C$128,MATRIX!R$8:R$128,)</f>
        <v>YES</v>
      </c>
      <c r="S131" s="4" t="str">
        <f>_xlfn.XLOOKUP($C131,MATRIX!$C$8:$C$128,MATRIX!S$8:S$128,)</f>
        <v>YES</v>
      </c>
      <c r="T131" s="4" t="str">
        <f>_xlfn.XLOOKUP($C131,MATRIX!$C$8:$C$128,MATRIX!T$8:T$128,)</f>
        <v>YES</v>
      </c>
      <c r="U131" s="4">
        <f>_xlfn.XLOOKUP($C131,MATRIX!$C$8:$C$128,MATRIX!U$8:U$128,)</f>
        <v>0</v>
      </c>
      <c r="V131" s="4">
        <f>_xlfn.XLOOKUP($C131,MATRIX!$C$8:$C$128,MATRIX!V$8:V$128,)</f>
        <v>0</v>
      </c>
      <c r="W131" s="135" t="s">
        <v>520</v>
      </c>
    </row>
    <row r="132" spans="1:23" ht="58" x14ac:dyDescent="0.35">
      <c r="A132" s="40"/>
      <c r="B132" s="4" t="str">
        <f>_xlfn.XLOOKUP($C132,MATRIX!$C$8:$C$128,MATRIX!B$8:B$128,)</f>
        <v>ACCESSIBILITY</v>
      </c>
      <c r="C132" s="145" t="s">
        <v>102</v>
      </c>
      <c r="D132" s="4" t="str">
        <f>_xlfn.XLOOKUP($C132,MATRIX!$C$8:$C$128,MATRIX!D$8:D$128,)</f>
        <v>Address wall-mounted objects protruding more than 4 inches into walking path.</v>
      </c>
      <c r="E132" s="4" t="str">
        <f>_xlfn.XLOOKUP($C132,MATRIX!$C$8:$C$128,MATRIX!E$8:E$128,)</f>
        <v>UPGRADES / IMPROVEMENTS</v>
      </c>
      <c r="F132" s="4" t="str">
        <f>_xlfn.XLOOKUP($C132,MATRIX!$C$8:$C$128,MATRIX!F$8:F$128,)</f>
        <v>2_MID 5-10 years</v>
      </c>
      <c r="G132" s="4" t="str">
        <f>_xlfn.XLOOKUP($C132,MATRIX!$C$8:$C$128,MATRIX!G$8:G$128,)</f>
        <v>WHOLE BUILDING</v>
      </c>
      <c r="H132" s="4" t="str">
        <f>_xlfn.XLOOKUP($C132,MATRIX!$C$8:$C$128,MATRIX!H$8:H$128,)</f>
        <v>WHOLE BUILDING</v>
      </c>
      <c r="I132" s="4" t="str">
        <f>_xlfn.XLOOKUP($C132,MATRIX!$C$8:$C$128,MATRIX!I$8:I$128,)</f>
        <v>LOW</v>
      </c>
      <c r="J132" s="4" t="str">
        <f>_xlfn.XLOOKUP($C132,MATRIX!$C$8:$C$128,MATRIX!J$8:J$128,)</f>
        <v>MODERATE</v>
      </c>
      <c r="K132" s="4" t="str">
        <f>_xlfn.XLOOKUP($C132,MATRIX!$C$8:$C$128,MATRIX!K$8:K$128,)</f>
        <v>MODERATE</v>
      </c>
      <c r="L132" s="4" t="str">
        <f>_xlfn.XLOOKUP($C132,MATRIX!$C$8:$C$128,MATRIX!L$8:L$128,)</f>
        <v>$ LOW</v>
      </c>
      <c r="M132" s="4" t="str">
        <f>_xlfn.XLOOKUP($C132,MATRIX!$C$8:$C$128,MATRIX!M$8:M$128,)</f>
        <v>N/A</v>
      </c>
      <c r="N132" s="4" t="str">
        <f>_xlfn.XLOOKUP($C132,MATRIX!$C$8:$C$128,MATRIX!N$8:N$128,)</f>
        <v>N/A</v>
      </c>
      <c r="O132" s="4" t="str">
        <f>_xlfn.XLOOKUP($C132,MATRIX!$C$8:$C$128,MATRIX!O$8:O$128,)</f>
        <v>N/A</v>
      </c>
      <c r="P132" s="4" t="str">
        <f>_xlfn.XLOOKUP($C132,MATRIX!$C$8:$C$128,MATRIX!P$8:P$128,)</f>
        <v>NO</v>
      </c>
      <c r="Q132" s="4" t="str">
        <f>_xlfn.XLOOKUP($C132,MATRIX!$C$8:$C$128,MATRIX!Q$8:Q$128,)</f>
        <v>NO</v>
      </c>
      <c r="R132" s="4" t="str">
        <f>_xlfn.XLOOKUP($C132,MATRIX!$C$8:$C$128,MATRIX!R$8:R$128,)</f>
        <v>YES</v>
      </c>
      <c r="S132" s="4" t="str">
        <f>_xlfn.XLOOKUP($C132,MATRIX!$C$8:$C$128,MATRIX!S$8:S$128,)</f>
        <v>YES</v>
      </c>
      <c r="T132" s="4" t="str">
        <f>_xlfn.XLOOKUP($C132,MATRIX!$C$8:$C$128,MATRIX!T$8:T$128,)</f>
        <v>NO</v>
      </c>
      <c r="U132" s="4">
        <f>_xlfn.XLOOKUP($C132,MATRIX!$C$8:$C$128,MATRIX!U$8:U$128,)</f>
        <v>0</v>
      </c>
      <c r="V132" s="4">
        <f>_xlfn.XLOOKUP($C132,MATRIX!$C$8:$C$128,MATRIX!V$8:V$128,)</f>
        <v>0</v>
      </c>
      <c r="W132" s="135" t="s">
        <v>521</v>
      </c>
    </row>
    <row r="133" spans="1:23" ht="43.5" x14ac:dyDescent="0.35">
      <c r="A133" s="40"/>
      <c r="B133" s="4" t="str">
        <f>_xlfn.XLOOKUP($C133,MATRIX!$C$8:$C$128,MATRIX!B$8:B$128,)</f>
        <v>ACCESSIBILITY</v>
      </c>
      <c r="C133" s="145" t="s">
        <v>105</v>
      </c>
      <c r="D133" s="4" t="str">
        <f>_xlfn.XLOOKUP($C133,MATRIX!$C$8:$C$128,MATRIX!D$8:D$128,)</f>
        <v>Install fixed obstructions at low vertical clearance areas in upper Library.</v>
      </c>
      <c r="E133" s="4" t="str">
        <f>_xlfn.XLOOKUP($C133,MATRIX!$C$8:$C$128,MATRIX!E$8:E$128,)</f>
        <v>UPGRADES / IMPROVEMENTS</v>
      </c>
      <c r="F133" s="4" t="str">
        <f>_xlfn.XLOOKUP($C133,MATRIX!$C$8:$C$128,MATRIX!F$8:F$128,)</f>
        <v>2_MID 5-10 years</v>
      </c>
      <c r="G133" s="4" t="str">
        <f>_xlfn.XLOOKUP($C133,MATRIX!$C$8:$C$128,MATRIX!G$8:G$128,)</f>
        <v>ANNEX</v>
      </c>
      <c r="H133" s="4" t="str">
        <f>_xlfn.XLOOKUP($C133,MATRIX!$C$8:$C$128,MATRIX!H$8:H$128,)</f>
        <v>L4</v>
      </c>
      <c r="I133" s="4" t="str">
        <f>_xlfn.XLOOKUP($C133,MATRIX!$C$8:$C$128,MATRIX!I$8:I$128,)</f>
        <v>LOW</v>
      </c>
      <c r="J133" s="4" t="str">
        <f>_xlfn.XLOOKUP($C133,MATRIX!$C$8:$C$128,MATRIX!J$8:J$128,)</f>
        <v>LOW</v>
      </c>
      <c r="K133" s="4" t="str">
        <f>_xlfn.XLOOKUP($C133,MATRIX!$C$8:$C$128,MATRIX!K$8:K$128,)</f>
        <v>MODERATE</v>
      </c>
      <c r="L133" s="4" t="str">
        <f>_xlfn.XLOOKUP($C133,MATRIX!$C$8:$C$128,MATRIX!L$8:L$128,)</f>
        <v>$ LOW</v>
      </c>
      <c r="M133" s="4" t="str">
        <f>_xlfn.XLOOKUP($C133,MATRIX!$C$8:$C$128,MATRIX!M$8:M$128,)</f>
        <v>N/A</v>
      </c>
      <c r="N133" s="4" t="str">
        <f>_xlfn.XLOOKUP($C133,MATRIX!$C$8:$C$128,MATRIX!N$8:N$128,)</f>
        <v>N/A</v>
      </c>
      <c r="O133" s="4" t="str">
        <f>_xlfn.XLOOKUP($C133,MATRIX!$C$8:$C$128,MATRIX!O$8:O$128,)</f>
        <v>N/A</v>
      </c>
      <c r="P133" s="4" t="str">
        <f>_xlfn.XLOOKUP($C133,MATRIX!$C$8:$C$128,MATRIX!P$8:P$128,)</f>
        <v>NO</v>
      </c>
      <c r="Q133" s="4" t="str">
        <f>_xlfn.XLOOKUP($C133,MATRIX!$C$8:$C$128,MATRIX!Q$8:Q$128,)</f>
        <v>NO</v>
      </c>
      <c r="R133" s="4" t="str">
        <f>_xlfn.XLOOKUP($C133,MATRIX!$C$8:$C$128,MATRIX!R$8:R$128,)</f>
        <v>YES</v>
      </c>
      <c r="S133" s="4" t="str">
        <f>_xlfn.XLOOKUP($C133,MATRIX!$C$8:$C$128,MATRIX!S$8:S$128,)</f>
        <v>YES</v>
      </c>
      <c r="T133" s="4" t="str">
        <f>_xlfn.XLOOKUP($C133,MATRIX!$C$8:$C$128,MATRIX!T$8:T$128,)</f>
        <v>NO</v>
      </c>
      <c r="U133" s="4">
        <f>_xlfn.XLOOKUP($C133,MATRIX!$C$8:$C$128,MATRIX!U$8:U$128,)</f>
        <v>0</v>
      </c>
      <c r="V133" s="4">
        <f>_xlfn.XLOOKUP($C133,MATRIX!$C$8:$C$128,MATRIX!V$8:V$128,)</f>
        <v>0</v>
      </c>
      <c r="W133" s="135" t="s">
        <v>522</v>
      </c>
    </row>
    <row r="134" spans="1:23" x14ac:dyDescent="0.35">
      <c r="A134" s="40"/>
      <c r="B134" s="40"/>
      <c r="C134" s="145"/>
      <c r="D134" s="40"/>
      <c r="E134" s="40"/>
      <c r="F134" s="40"/>
      <c r="G134" s="40"/>
      <c r="H134" s="40"/>
      <c r="I134" s="40"/>
      <c r="J134" s="40"/>
      <c r="K134" s="40"/>
      <c r="L134" s="40"/>
      <c r="M134" s="40"/>
      <c r="N134" s="40"/>
      <c r="O134" s="40"/>
      <c r="P134" s="40"/>
      <c r="Q134" s="40"/>
      <c r="R134" s="40"/>
      <c r="S134" s="40"/>
      <c r="T134" s="40"/>
      <c r="U134" s="40"/>
      <c r="V134" s="40"/>
      <c r="W134" s="4"/>
    </row>
    <row r="135" spans="1:23" x14ac:dyDescent="0.35">
      <c r="A135" s="40"/>
      <c r="B135" s="40"/>
      <c r="C135" s="145"/>
      <c r="D135" s="40"/>
      <c r="E135" s="40"/>
      <c r="F135" s="40"/>
      <c r="G135" s="40"/>
      <c r="H135" s="40"/>
      <c r="I135" s="40"/>
      <c r="J135" s="40"/>
      <c r="K135" s="40"/>
      <c r="L135" s="40"/>
      <c r="M135" s="40"/>
      <c r="N135" s="40"/>
      <c r="O135" s="40"/>
      <c r="P135" s="40"/>
      <c r="Q135" s="40"/>
      <c r="R135" s="40"/>
      <c r="S135" s="40"/>
      <c r="T135" s="40"/>
      <c r="U135" s="40"/>
      <c r="V135" s="40"/>
      <c r="W135" s="4"/>
    </row>
    <row r="138" spans="1:23" x14ac:dyDescent="0.35">
      <c r="B138" s="2" t="e">
        <f>_xlfn.XLOOKUP($C138,MATRIX!$C$8:$C$128,MATRIX!B$8:B$128,)</f>
        <v>#N/A</v>
      </c>
      <c r="C138" s="145"/>
      <c r="D138" s="2" t="e">
        <f>_xlfn.XLOOKUP($C138,MATRIX!$C$8:$C$128,MATRIX!D$8:D$128,)</f>
        <v>#N/A</v>
      </c>
      <c r="E138" s="2" t="e">
        <f>_xlfn.XLOOKUP($C138,MATRIX!$C$8:$C$128,MATRIX!E$8:E$128,)</f>
        <v>#N/A</v>
      </c>
      <c r="F138" s="2" t="e">
        <f>_xlfn.XLOOKUP($C138,MATRIX!$C$8:$C$128,MATRIX!F$8:F$128,)</f>
        <v>#N/A</v>
      </c>
      <c r="G138" s="2" t="e">
        <f>_xlfn.XLOOKUP($C138,MATRIX!$C$8:$C$128,MATRIX!G$8:G$128,)</f>
        <v>#N/A</v>
      </c>
      <c r="H138" s="2" t="e">
        <f>_xlfn.XLOOKUP($C138,MATRIX!$C$8:$C$128,MATRIX!H$8:H$128,)</f>
        <v>#N/A</v>
      </c>
      <c r="I138" s="2" t="e">
        <f>_xlfn.XLOOKUP($C138,MATRIX!$C$8:$C$128,MATRIX!I$8:I$128,)</f>
        <v>#N/A</v>
      </c>
      <c r="J138" s="2" t="e">
        <f>_xlfn.XLOOKUP($C138,MATRIX!$C$8:$C$128,MATRIX!J$8:J$128,)</f>
        <v>#N/A</v>
      </c>
      <c r="K138" s="2" t="e">
        <f>_xlfn.XLOOKUP($C138,MATRIX!$C$8:$C$128,MATRIX!K$8:K$128,)</f>
        <v>#N/A</v>
      </c>
      <c r="L138" s="2" t="e">
        <f>_xlfn.XLOOKUP($C138,MATRIX!$C$8:$C$128,MATRIX!L$8:L$128,)</f>
        <v>#N/A</v>
      </c>
      <c r="M138" s="2" t="e">
        <f>_xlfn.XLOOKUP($C138,MATRIX!$C$8:$C$128,MATRIX!M$8:M$128,)</f>
        <v>#N/A</v>
      </c>
      <c r="N138" s="2" t="e">
        <f>_xlfn.XLOOKUP($C138,MATRIX!$C$8:$C$128,MATRIX!N$8:N$128,)</f>
        <v>#N/A</v>
      </c>
      <c r="O138" s="2" t="e">
        <f>_xlfn.XLOOKUP($C138,MATRIX!$C$8:$C$128,MATRIX!O$8:O$128,)</f>
        <v>#N/A</v>
      </c>
      <c r="P138" s="2" t="e">
        <f>_xlfn.XLOOKUP($C138,MATRIX!$C$8:$C$128,MATRIX!P$8:P$128,)</f>
        <v>#N/A</v>
      </c>
      <c r="Q138" s="2" t="e">
        <f>_xlfn.XLOOKUP($C138,MATRIX!$C$8:$C$128,MATRIX!Q$8:Q$128,)</f>
        <v>#N/A</v>
      </c>
      <c r="R138" s="2" t="e">
        <f>_xlfn.XLOOKUP($C138,MATRIX!$C$8:$C$128,MATRIX!R$8:R$128,)</f>
        <v>#N/A</v>
      </c>
      <c r="S138" s="2" t="e">
        <f>_xlfn.XLOOKUP($C138,MATRIX!$C$8:$C$128,MATRIX!S$8:S$128,)</f>
        <v>#N/A</v>
      </c>
      <c r="T138" s="2" t="e">
        <f>_xlfn.XLOOKUP($C138,MATRIX!$C$8:$C$128,MATRIX!T$8:T$128,)</f>
        <v>#N/A</v>
      </c>
      <c r="U138" s="2" t="e">
        <f>_xlfn.XLOOKUP($C138,MATRIX!$C$8:$C$128,MATRIX!U$8:U$128,)</f>
        <v>#N/A</v>
      </c>
      <c r="V138" s="2" t="e">
        <f>_xlfn.XLOOKUP($C138,MATRIX!$C$8:$C$128,MATRIX!V$8:V$128,)</f>
        <v>#N/A</v>
      </c>
    </row>
    <row r="139" spans="1:23" x14ac:dyDescent="0.35">
      <c r="B139" s="2" t="e">
        <f>_xlfn.XLOOKUP($C139,MATRIX!$C$8:$C$128,MATRIX!B$8:B$128,)</f>
        <v>#N/A</v>
      </c>
      <c r="C139" s="145"/>
      <c r="D139" s="2" t="e">
        <f>_xlfn.XLOOKUP($C139,MATRIX!$C$8:$C$128,MATRIX!D$8:D$128,)</f>
        <v>#N/A</v>
      </c>
      <c r="E139" s="2" t="e">
        <f>_xlfn.XLOOKUP($C139,MATRIX!$C$8:$C$128,MATRIX!E$8:E$128,)</f>
        <v>#N/A</v>
      </c>
      <c r="F139" s="2" t="e">
        <f>_xlfn.XLOOKUP($C139,MATRIX!$C$8:$C$128,MATRIX!F$8:F$128,)</f>
        <v>#N/A</v>
      </c>
      <c r="G139" s="2" t="e">
        <f>_xlfn.XLOOKUP($C139,MATRIX!$C$8:$C$128,MATRIX!G$8:G$128,)</f>
        <v>#N/A</v>
      </c>
      <c r="H139" s="2" t="e">
        <f>_xlfn.XLOOKUP($C139,MATRIX!$C$8:$C$128,MATRIX!H$8:H$128,)</f>
        <v>#N/A</v>
      </c>
      <c r="I139" s="2" t="e">
        <f>_xlfn.XLOOKUP($C139,MATRIX!$C$8:$C$128,MATRIX!I$8:I$128,)</f>
        <v>#N/A</v>
      </c>
      <c r="J139" s="2" t="e">
        <f>_xlfn.XLOOKUP($C139,MATRIX!$C$8:$C$128,MATRIX!J$8:J$128,)</f>
        <v>#N/A</v>
      </c>
      <c r="K139" s="2" t="e">
        <f>_xlfn.XLOOKUP($C139,MATRIX!$C$8:$C$128,MATRIX!K$8:K$128,)</f>
        <v>#N/A</v>
      </c>
      <c r="L139" s="2" t="e">
        <f>_xlfn.XLOOKUP($C139,MATRIX!$C$8:$C$128,MATRIX!L$8:L$128,)</f>
        <v>#N/A</v>
      </c>
      <c r="M139" s="2" t="e">
        <f>_xlfn.XLOOKUP($C139,MATRIX!$C$8:$C$128,MATRIX!M$8:M$128,)</f>
        <v>#N/A</v>
      </c>
      <c r="N139" s="2" t="e">
        <f>_xlfn.XLOOKUP($C139,MATRIX!$C$8:$C$128,MATRIX!N$8:N$128,)</f>
        <v>#N/A</v>
      </c>
      <c r="O139" s="2" t="e">
        <f>_xlfn.XLOOKUP($C139,MATRIX!$C$8:$C$128,MATRIX!O$8:O$128,)</f>
        <v>#N/A</v>
      </c>
      <c r="P139" s="2" t="e">
        <f>_xlfn.XLOOKUP($C139,MATRIX!$C$8:$C$128,MATRIX!P$8:P$128,)</f>
        <v>#N/A</v>
      </c>
      <c r="Q139" s="2" t="e">
        <f>_xlfn.XLOOKUP($C139,MATRIX!$C$8:$C$128,MATRIX!Q$8:Q$128,)</f>
        <v>#N/A</v>
      </c>
      <c r="R139" s="2" t="e">
        <f>_xlfn.XLOOKUP($C139,MATRIX!$C$8:$C$128,MATRIX!R$8:R$128,)</f>
        <v>#N/A</v>
      </c>
      <c r="S139" s="2" t="e">
        <f>_xlfn.XLOOKUP($C139,MATRIX!$C$8:$C$128,MATRIX!S$8:S$128,)</f>
        <v>#N/A</v>
      </c>
      <c r="T139" s="2" t="e">
        <f>_xlfn.XLOOKUP($C139,MATRIX!$C$8:$C$128,MATRIX!T$8:T$128,)</f>
        <v>#N/A</v>
      </c>
      <c r="U139" s="2" t="e">
        <f>_xlfn.XLOOKUP($C139,MATRIX!$C$8:$C$128,MATRIX!U$8:U$128,)</f>
        <v>#N/A</v>
      </c>
      <c r="V139" s="2" t="e">
        <f>_xlfn.XLOOKUP($C139,MATRIX!$C$8:$C$128,MATRIX!V$8:V$128,)</f>
        <v>#N/A</v>
      </c>
    </row>
    <row r="140" spans="1:23" x14ac:dyDescent="0.35">
      <c r="B140" s="2" t="e">
        <f>_xlfn.XLOOKUP($C140,MATRIX!$C$8:$C$128,MATRIX!B$8:B$128,)</f>
        <v>#N/A</v>
      </c>
      <c r="C140" s="145"/>
      <c r="D140" s="2" t="e">
        <f>_xlfn.XLOOKUP($C140,MATRIX!$C$8:$C$128,MATRIX!D$8:D$128,)</f>
        <v>#N/A</v>
      </c>
      <c r="E140" s="2" t="e">
        <f>_xlfn.XLOOKUP($C140,MATRIX!$C$8:$C$128,MATRIX!E$8:E$128,)</f>
        <v>#N/A</v>
      </c>
      <c r="F140" s="2" t="e">
        <f>_xlfn.XLOOKUP($C140,MATRIX!$C$8:$C$128,MATRIX!F$8:F$128,)</f>
        <v>#N/A</v>
      </c>
      <c r="G140" s="2" t="e">
        <f>_xlfn.XLOOKUP($C140,MATRIX!$C$8:$C$128,MATRIX!G$8:G$128,)</f>
        <v>#N/A</v>
      </c>
      <c r="H140" s="2" t="e">
        <f>_xlfn.XLOOKUP($C140,MATRIX!$C$8:$C$128,MATRIX!H$8:H$128,)</f>
        <v>#N/A</v>
      </c>
      <c r="I140" s="2" t="e">
        <f>_xlfn.XLOOKUP($C140,MATRIX!$C$8:$C$128,MATRIX!I$8:I$128,)</f>
        <v>#N/A</v>
      </c>
      <c r="J140" s="2" t="e">
        <f>_xlfn.XLOOKUP($C140,MATRIX!$C$8:$C$128,MATRIX!J$8:J$128,)</f>
        <v>#N/A</v>
      </c>
      <c r="K140" s="2" t="e">
        <f>_xlfn.XLOOKUP($C140,MATRIX!$C$8:$C$128,MATRIX!K$8:K$128,)</f>
        <v>#N/A</v>
      </c>
      <c r="L140" s="2" t="e">
        <f>_xlfn.XLOOKUP($C140,MATRIX!$C$8:$C$128,MATRIX!L$8:L$128,)</f>
        <v>#N/A</v>
      </c>
      <c r="M140" s="2" t="e">
        <f>_xlfn.XLOOKUP($C140,MATRIX!$C$8:$C$128,MATRIX!M$8:M$128,)</f>
        <v>#N/A</v>
      </c>
      <c r="N140" s="2" t="e">
        <f>_xlfn.XLOOKUP($C140,MATRIX!$C$8:$C$128,MATRIX!N$8:N$128,)</f>
        <v>#N/A</v>
      </c>
      <c r="O140" s="2" t="e">
        <f>_xlfn.XLOOKUP($C140,MATRIX!$C$8:$C$128,MATRIX!O$8:O$128,)</f>
        <v>#N/A</v>
      </c>
      <c r="P140" s="2" t="e">
        <f>_xlfn.XLOOKUP($C140,MATRIX!$C$8:$C$128,MATRIX!P$8:P$128,)</f>
        <v>#N/A</v>
      </c>
      <c r="Q140" s="2" t="e">
        <f>_xlfn.XLOOKUP($C140,MATRIX!$C$8:$C$128,MATRIX!Q$8:Q$128,)</f>
        <v>#N/A</v>
      </c>
      <c r="R140" s="2" t="e">
        <f>_xlfn.XLOOKUP($C140,MATRIX!$C$8:$C$128,MATRIX!R$8:R$128,)</f>
        <v>#N/A</v>
      </c>
      <c r="S140" s="2" t="e">
        <f>_xlfn.XLOOKUP($C140,MATRIX!$C$8:$C$128,MATRIX!S$8:S$128,)</f>
        <v>#N/A</v>
      </c>
      <c r="T140" s="2" t="e">
        <f>_xlfn.XLOOKUP($C140,MATRIX!$C$8:$C$128,MATRIX!T$8:T$128,)</f>
        <v>#N/A</v>
      </c>
      <c r="U140" s="2" t="e">
        <f>_xlfn.XLOOKUP($C140,MATRIX!$C$8:$C$128,MATRIX!U$8:U$128,)</f>
        <v>#N/A</v>
      </c>
      <c r="V140" s="2" t="e">
        <f>_xlfn.XLOOKUP($C140,MATRIX!$C$8:$C$128,MATRIX!V$8:V$128,)</f>
        <v>#N/A</v>
      </c>
    </row>
    <row r="141" spans="1:23" x14ac:dyDescent="0.35">
      <c r="B141" s="2" t="e">
        <f>_xlfn.XLOOKUP($C141,MATRIX!$C$8:$C$128,MATRIX!B$8:B$128,)</f>
        <v>#N/A</v>
      </c>
      <c r="C141" s="145"/>
      <c r="D141" s="2" t="e">
        <f>_xlfn.XLOOKUP($C141,MATRIX!$C$8:$C$128,MATRIX!D$8:D$128,)</f>
        <v>#N/A</v>
      </c>
      <c r="E141" s="2" t="e">
        <f>_xlfn.XLOOKUP($C141,MATRIX!$C$8:$C$128,MATRIX!E$8:E$128,)</f>
        <v>#N/A</v>
      </c>
      <c r="F141" s="2" t="e">
        <f>_xlfn.XLOOKUP($C141,MATRIX!$C$8:$C$128,MATRIX!F$8:F$128,)</f>
        <v>#N/A</v>
      </c>
      <c r="G141" s="2" t="e">
        <f>_xlfn.XLOOKUP($C141,MATRIX!$C$8:$C$128,MATRIX!G$8:G$128,)</f>
        <v>#N/A</v>
      </c>
      <c r="H141" s="2" t="e">
        <f>_xlfn.XLOOKUP($C141,MATRIX!$C$8:$C$128,MATRIX!H$8:H$128,)</f>
        <v>#N/A</v>
      </c>
      <c r="I141" s="2" t="e">
        <f>_xlfn.XLOOKUP($C141,MATRIX!$C$8:$C$128,MATRIX!I$8:I$128,)</f>
        <v>#N/A</v>
      </c>
      <c r="J141" s="2" t="e">
        <f>_xlfn.XLOOKUP($C141,MATRIX!$C$8:$C$128,MATRIX!J$8:J$128,)</f>
        <v>#N/A</v>
      </c>
      <c r="K141" s="2" t="e">
        <f>_xlfn.XLOOKUP($C141,MATRIX!$C$8:$C$128,MATRIX!K$8:K$128,)</f>
        <v>#N/A</v>
      </c>
      <c r="L141" s="2" t="e">
        <f>_xlfn.XLOOKUP($C141,MATRIX!$C$8:$C$128,MATRIX!L$8:L$128,)</f>
        <v>#N/A</v>
      </c>
      <c r="M141" s="2" t="e">
        <f>_xlfn.XLOOKUP($C141,MATRIX!$C$8:$C$128,MATRIX!M$8:M$128,)</f>
        <v>#N/A</v>
      </c>
      <c r="N141" s="2" t="e">
        <f>_xlfn.XLOOKUP($C141,MATRIX!$C$8:$C$128,MATRIX!N$8:N$128,)</f>
        <v>#N/A</v>
      </c>
      <c r="O141" s="2" t="e">
        <f>_xlfn.XLOOKUP($C141,MATRIX!$C$8:$C$128,MATRIX!O$8:O$128,)</f>
        <v>#N/A</v>
      </c>
      <c r="P141" s="2" t="e">
        <f>_xlfn.XLOOKUP($C141,MATRIX!$C$8:$C$128,MATRIX!P$8:P$128,)</f>
        <v>#N/A</v>
      </c>
      <c r="Q141" s="2" t="e">
        <f>_xlfn.XLOOKUP($C141,MATRIX!$C$8:$C$128,MATRIX!Q$8:Q$128,)</f>
        <v>#N/A</v>
      </c>
      <c r="R141" s="2" t="e">
        <f>_xlfn.XLOOKUP($C141,MATRIX!$C$8:$C$128,MATRIX!R$8:R$128,)</f>
        <v>#N/A</v>
      </c>
      <c r="S141" s="2" t="e">
        <f>_xlfn.XLOOKUP($C141,MATRIX!$C$8:$C$128,MATRIX!S$8:S$128,)</f>
        <v>#N/A</v>
      </c>
      <c r="T141" s="2" t="e">
        <f>_xlfn.XLOOKUP($C141,MATRIX!$C$8:$C$128,MATRIX!T$8:T$128,)</f>
        <v>#N/A</v>
      </c>
      <c r="U141" s="2" t="e">
        <f>_xlfn.XLOOKUP($C141,MATRIX!$C$8:$C$128,MATRIX!U$8:U$128,)</f>
        <v>#N/A</v>
      </c>
      <c r="V141" s="2" t="e">
        <f>_xlfn.XLOOKUP($C141,MATRIX!$C$8:$C$128,MATRIX!V$8:V$128,)</f>
        <v>#N/A</v>
      </c>
    </row>
    <row r="142" spans="1:23" x14ac:dyDescent="0.35">
      <c r="B142" s="2" t="e">
        <f>_xlfn.XLOOKUP($C142,MATRIX!$C$8:$C$128,MATRIX!B$8:B$128,)</f>
        <v>#N/A</v>
      </c>
      <c r="C142" s="145"/>
      <c r="D142" s="2" t="e">
        <f>_xlfn.XLOOKUP($C142,MATRIX!$C$8:$C$128,MATRIX!D$8:D$128,)</f>
        <v>#N/A</v>
      </c>
      <c r="E142" s="2" t="e">
        <f>_xlfn.XLOOKUP($C142,MATRIX!$C$8:$C$128,MATRIX!E$8:E$128,)</f>
        <v>#N/A</v>
      </c>
      <c r="F142" s="2" t="e">
        <f>_xlfn.XLOOKUP($C142,MATRIX!$C$8:$C$128,MATRIX!F$8:F$128,)</f>
        <v>#N/A</v>
      </c>
      <c r="G142" s="2" t="e">
        <f>_xlfn.XLOOKUP($C142,MATRIX!$C$8:$C$128,MATRIX!G$8:G$128,)</f>
        <v>#N/A</v>
      </c>
      <c r="H142" s="2" t="e">
        <f>_xlfn.XLOOKUP($C142,MATRIX!$C$8:$C$128,MATRIX!H$8:H$128,)</f>
        <v>#N/A</v>
      </c>
      <c r="I142" s="2" t="e">
        <f>_xlfn.XLOOKUP($C142,MATRIX!$C$8:$C$128,MATRIX!I$8:I$128,)</f>
        <v>#N/A</v>
      </c>
      <c r="J142" s="2" t="e">
        <f>_xlfn.XLOOKUP($C142,MATRIX!$C$8:$C$128,MATRIX!J$8:J$128,)</f>
        <v>#N/A</v>
      </c>
      <c r="K142" s="2" t="e">
        <f>_xlfn.XLOOKUP($C142,MATRIX!$C$8:$C$128,MATRIX!K$8:K$128,)</f>
        <v>#N/A</v>
      </c>
      <c r="L142" s="2" t="e">
        <f>_xlfn.XLOOKUP($C142,MATRIX!$C$8:$C$128,MATRIX!L$8:L$128,)</f>
        <v>#N/A</v>
      </c>
      <c r="M142" s="2" t="e">
        <f>_xlfn.XLOOKUP($C142,MATRIX!$C$8:$C$128,MATRIX!M$8:M$128,)</f>
        <v>#N/A</v>
      </c>
      <c r="N142" s="2" t="e">
        <f>_xlfn.XLOOKUP($C142,MATRIX!$C$8:$C$128,MATRIX!N$8:N$128,)</f>
        <v>#N/A</v>
      </c>
      <c r="O142" s="2" t="e">
        <f>_xlfn.XLOOKUP($C142,MATRIX!$C$8:$C$128,MATRIX!O$8:O$128,)</f>
        <v>#N/A</v>
      </c>
      <c r="P142" s="2" t="e">
        <f>_xlfn.XLOOKUP($C142,MATRIX!$C$8:$C$128,MATRIX!P$8:P$128,)</f>
        <v>#N/A</v>
      </c>
      <c r="Q142" s="2" t="e">
        <f>_xlfn.XLOOKUP($C142,MATRIX!$C$8:$C$128,MATRIX!Q$8:Q$128,)</f>
        <v>#N/A</v>
      </c>
      <c r="R142" s="2" t="e">
        <f>_xlfn.XLOOKUP($C142,MATRIX!$C$8:$C$128,MATRIX!R$8:R$128,)</f>
        <v>#N/A</v>
      </c>
      <c r="S142" s="2" t="e">
        <f>_xlfn.XLOOKUP($C142,MATRIX!$C$8:$C$128,MATRIX!S$8:S$128,)</f>
        <v>#N/A</v>
      </c>
      <c r="T142" s="2" t="e">
        <f>_xlfn.XLOOKUP($C142,MATRIX!$C$8:$C$128,MATRIX!T$8:T$128,)</f>
        <v>#N/A</v>
      </c>
      <c r="U142" s="2" t="e">
        <f>_xlfn.XLOOKUP($C142,MATRIX!$C$8:$C$128,MATRIX!U$8:U$128,)</f>
        <v>#N/A</v>
      </c>
      <c r="V142" s="2" t="e">
        <f>_xlfn.XLOOKUP($C142,MATRIX!$C$8:$C$128,MATRIX!V$8:V$128,)</f>
        <v>#N/A</v>
      </c>
    </row>
    <row r="143" spans="1:23" x14ac:dyDescent="0.35">
      <c r="D143" s="2"/>
    </row>
    <row r="144" spans="1:23" x14ac:dyDescent="0.35">
      <c r="D144" s="2"/>
    </row>
    <row r="145" spans="4:4" x14ac:dyDescent="0.35">
      <c r="D145" s="2"/>
    </row>
    <row r="146" spans="4:4" x14ac:dyDescent="0.35">
      <c r="D146" s="2"/>
    </row>
    <row r="147" spans="4:4" x14ac:dyDescent="0.35">
      <c r="D147" s="2"/>
    </row>
    <row r="148" spans="4:4" x14ac:dyDescent="0.35">
      <c r="D148" s="2"/>
    </row>
    <row r="149" spans="4:4" x14ac:dyDescent="0.35">
      <c r="D149" s="2"/>
    </row>
    <row r="150" spans="4:4" x14ac:dyDescent="0.35">
      <c r="D150" s="2"/>
    </row>
    <row r="151" spans="4:4" x14ac:dyDescent="0.35">
      <c r="D151" s="2"/>
    </row>
    <row r="152" spans="4:4" x14ac:dyDescent="0.35">
      <c r="D152" s="2"/>
    </row>
    <row r="153" spans="4:4" x14ac:dyDescent="0.35">
      <c r="D153" s="2"/>
    </row>
    <row r="154" spans="4:4" x14ac:dyDescent="0.35">
      <c r="D154" s="2"/>
    </row>
    <row r="155" spans="4:4" x14ac:dyDescent="0.35">
      <c r="D155" s="2"/>
    </row>
    <row r="156" spans="4:4" x14ac:dyDescent="0.35">
      <c r="D156" s="2"/>
    </row>
    <row r="157" spans="4:4" x14ac:dyDescent="0.35">
      <c r="D157" s="2"/>
    </row>
    <row r="158" spans="4:4" x14ac:dyDescent="0.35">
      <c r="D158" s="2"/>
    </row>
    <row r="159" spans="4:4" x14ac:dyDescent="0.35">
      <c r="D159" s="2"/>
    </row>
    <row r="160" spans="4:4" x14ac:dyDescent="0.35">
      <c r="D160" s="2"/>
    </row>
    <row r="161" spans="4:4" x14ac:dyDescent="0.35">
      <c r="D161" s="2"/>
    </row>
    <row r="162" spans="4:4" x14ac:dyDescent="0.35">
      <c r="D162" s="2"/>
    </row>
    <row r="163" spans="4:4" x14ac:dyDescent="0.35">
      <c r="D163" s="2"/>
    </row>
    <row r="164" spans="4:4" x14ac:dyDescent="0.35">
      <c r="D164" s="2"/>
    </row>
    <row r="165" spans="4:4" x14ac:dyDescent="0.35">
      <c r="D165" s="2"/>
    </row>
    <row r="166" spans="4:4" x14ac:dyDescent="0.35">
      <c r="D166" s="2"/>
    </row>
    <row r="167" spans="4:4" x14ac:dyDescent="0.35">
      <c r="D167" s="2"/>
    </row>
    <row r="168" spans="4:4" x14ac:dyDescent="0.35">
      <c r="D168" s="2"/>
    </row>
    <row r="169" spans="4:4" x14ac:dyDescent="0.35">
      <c r="D169" s="2"/>
    </row>
    <row r="170" spans="4:4" x14ac:dyDescent="0.35">
      <c r="D170" s="2"/>
    </row>
    <row r="171" spans="4:4" x14ac:dyDescent="0.35">
      <c r="D171" s="2"/>
    </row>
    <row r="172" spans="4:4" x14ac:dyDescent="0.35">
      <c r="D172" s="2"/>
    </row>
    <row r="173" spans="4:4" x14ac:dyDescent="0.35">
      <c r="D173" s="2"/>
    </row>
    <row r="174" spans="4:4" x14ac:dyDescent="0.35">
      <c r="D174" s="2"/>
    </row>
    <row r="175" spans="4:4" x14ac:dyDescent="0.35">
      <c r="D175" s="2"/>
    </row>
    <row r="176" spans="4:4" x14ac:dyDescent="0.35">
      <c r="D176" s="2"/>
    </row>
    <row r="177" spans="4:4" x14ac:dyDescent="0.35">
      <c r="D177" s="2"/>
    </row>
    <row r="178" spans="4:4" x14ac:dyDescent="0.35">
      <c r="D178" s="2"/>
    </row>
    <row r="179" spans="4:4" x14ac:dyDescent="0.35">
      <c r="D179" s="2"/>
    </row>
    <row r="180" spans="4:4" x14ac:dyDescent="0.35">
      <c r="D180" s="2"/>
    </row>
    <row r="181" spans="4:4" x14ac:dyDescent="0.35">
      <c r="D181" s="2"/>
    </row>
    <row r="182" spans="4:4" x14ac:dyDescent="0.35">
      <c r="D182" s="2"/>
    </row>
    <row r="183" spans="4:4" x14ac:dyDescent="0.35">
      <c r="D183" s="2"/>
    </row>
    <row r="184" spans="4:4" x14ac:dyDescent="0.35">
      <c r="D184" s="2"/>
    </row>
    <row r="185" spans="4:4" x14ac:dyDescent="0.35">
      <c r="D185" s="2"/>
    </row>
    <row r="186" spans="4:4" x14ac:dyDescent="0.35">
      <c r="D186" s="2"/>
    </row>
    <row r="187" spans="4:4" x14ac:dyDescent="0.35">
      <c r="D187" s="2"/>
    </row>
    <row r="188" spans="4:4" x14ac:dyDescent="0.35">
      <c r="D188" s="2"/>
    </row>
    <row r="189" spans="4:4" x14ac:dyDescent="0.35">
      <c r="D189" s="2"/>
    </row>
    <row r="190" spans="4:4" x14ac:dyDescent="0.35">
      <c r="D190" s="2"/>
    </row>
    <row r="191" spans="4:4" x14ac:dyDescent="0.35">
      <c r="D191" s="2"/>
    </row>
    <row r="192" spans="4:4" x14ac:dyDescent="0.35">
      <c r="D192" s="2"/>
    </row>
    <row r="193" spans="4:4" x14ac:dyDescent="0.35">
      <c r="D193" s="2"/>
    </row>
    <row r="194" spans="4:4" x14ac:dyDescent="0.35">
      <c r="D194" s="2"/>
    </row>
    <row r="195" spans="4:4" x14ac:dyDescent="0.35">
      <c r="D195" s="2"/>
    </row>
    <row r="196" spans="4:4" x14ac:dyDescent="0.35">
      <c r="D196" s="2"/>
    </row>
    <row r="197" spans="4:4" x14ac:dyDescent="0.35">
      <c r="D197" s="2"/>
    </row>
    <row r="198" spans="4:4" x14ac:dyDescent="0.35">
      <c r="D198" s="2"/>
    </row>
    <row r="199" spans="4:4" x14ac:dyDescent="0.35">
      <c r="D199" s="2"/>
    </row>
    <row r="200" spans="4:4" x14ac:dyDescent="0.35">
      <c r="D200" s="2"/>
    </row>
    <row r="201" spans="4:4" x14ac:dyDescent="0.35">
      <c r="D201" s="2"/>
    </row>
    <row r="202" spans="4:4" x14ac:dyDescent="0.35">
      <c r="D202" s="2"/>
    </row>
    <row r="203" spans="4:4" x14ac:dyDescent="0.35">
      <c r="D203" s="2"/>
    </row>
    <row r="204" spans="4:4" x14ac:dyDescent="0.35">
      <c r="D204" s="2"/>
    </row>
    <row r="205" spans="4:4" x14ac:dyDescent="0.35">
      <c r="D205" s="2"/>
    </row>
    <row r="206" spans="4:4" x14ac:dyDescent="0.35">
      <c r="D206" s="2"/>
    </row>
    <row r="207" spans="4:4" x14ac:dyDescent="0.35">
      <c r="D207" s="2"/>
    </row>
    <row r="208" spans="4:4" x14ac:dyDescent="0.35">
      <c r="D208" s="2"/>
    </row>
    <row r="209" spans="4:4" x14ac:dyDescent="0.35">
      <c r="D209" s="2"/>
    </row>
    <row r="210" spans="4:4" x14ac:dyDescent="0.35">
      <c r="D210" s="2"/>
    </row>
    <row r="211" spans="4:4" x14ac:dyDescent="0.35">
      <c r="D211" s="2"/>
    </row>
    <row r="212" spans="4:4" x14ac:dyDescent="0.35">
      <c r="D212" s="2"/>
    </row>
    <row r="213" spans="4:4" x14ac:dyDescent="0.35">
      <c r="D213" s="2"/>
    </row>
    <row r="214" spans="4:4" x14ac:dyDescent="0.35">
      <c r="D214" s="2"/>
    </row>
    <row r="215" spans="4:4" x14ac:dyDescent="0.35">
      <c r="D215" s="2"/>
    </row>
    <row r="216" spans="4:4" x14ac:dyDescent="0.35">
      <c r="D216" s="2"/>
    </row>
    <row r="217" spans="4:4" x14ac:dyDescent="0.35">
      <c r="D217" s="2"/>
    </row>
    <row r="218" spans="4:4" x14ac:dyDescent="0.35">
      <c r="D218" s="2"/>
    </row>
    <row r="219" spans="4:4" x14ac:dyDescent="0.35">
      <c r="D219" s="2"/>
    </row>
    <row r="220" spans="4:4" x14ac:dyDescent="0.35">
      <c r="D220" s="2"/>
    </row>
    <row r="221" spans="4:4" x14ac:dyDescent="0.35">
      <c r="D221" s="2"/>
    </row>
    <row r="222" spans="4:4" x14ac:dyDescent="0.35">
      <c r="D222" s="2"/>
    </row>
    <row r="223" spans="4:4" x14ac:dyDescent="0.35">
      <c r="D223" s="2"/>
    </row>
    <row r="224" spans="4:4" x14ac:dyDescent="0.35">
      <c r="D224" s="2"/>
    </row>
    <row r="225" spans="4:4" x14ac:dyDescent="0.35">
      <c r="D225" s="2"/>
    </row>
    <row r="226" spans="4:4" x14ac:dyDescent="0.35">
      <c r="D226" s="2"/>
    </row>
    <row r="227" spans="4:4" x14ac:dyDescent="0.35">
      <c r="D227" s="2"/>
    </row>
    <row r="228" spans="4:4" x14ac:dyDescent="0.35">
      <c r="D228" s="2"/>
    </row>
    <row r="229" spans="4:4" x14ac:dyDescent="0.35">
      <c r="D229" s="2"/>
    </row>
    <row r="230" spans="4:4" x14ac:dyDescent="0.35">
      <c r="D230" s="2"/>
    </row>
    <row r="231" spans="4:4" x14ac:dyDescent="0.35">
      <c r="D231" s="2"/>
    </row>
    <row r="232" spans="4:4" x14ac:dyDescent="0.35">
      <c r="D232" s="2"/>
    </row>
    <row r="233" spans="4:4" x14ac:dyDescent="0.35">
      <c r="D233" s="2"/>
    </row>
    <row r="234" spans="4:4" x14ac:dyDescent="0.35">
      <c r="D234" s="2"/>
    </row>
    <row r="235" spans="4:4" x14ac:dyDescent="0.35">
      <c r="D235" s="2"/>
    </row>
    <row r="236" spans="4:4" x14ac:dyDescent="0.35">
      <c r="D236" s="2"/>
    </row>
    <row r="237" spans="4:4" x14ac:dyDescent="0.35">
      <c r="D237" s="2"/>
    </row>
    <row r="238" spans="4:4" x14ac:dyDescent="0.35">
      <c r="D238" s="2"/>
    </row>
    <row r="239" spans="4:4" x14ac:dyDescent="0.35">
      <c r="D239" s="2"/>
    </row>
    <row r="240" spans="4:4" x14ac:dyDescent="0.35">
      <c r="D240" s="2"/>
    </row>
    <row r="241" spans="4:4" x14ac:dyDescent="0.35">
      <c r="D241" s="2"/>
    </row>
    <row r="242" spans="4:4" x14ac:dyDescent="0.35">
      <c r="D242" s="2"/>
    </row>
    <row r="243" spans="4:4" x14ac:dyDescent="0.35">
      <c r="D243" s="2"/>
    </row>
    <row r="244" spans="4:4" x14ac:dyDescent="0.35">
      <c r="D244" s="2"/>
    </row>
    <row r="245" spans="4:4" x14ac:dyDescent="0.35">
      <c r="D245" s="2"/>
    </row>
    <row r="246" spans="4:4" x14ac:dyDescent="0.35">
      <c r="D246" s="2"/>
    </row>
    <row r="247" spans="4:4" x14ac:dyDescent="0.35">
      <c r="D247" s="2"/>
    </row>
    <row r="248" spans="4:4" x14ac:dyDescent="0.35">
      <c r="D248" s="2"/>
    </row>
    <row r="249" spans="4:4" x14ac:dyDescent="0.35">
      <c r="D249" s="2"/>
    </row>
    <row r="250" spans="4:4" x14ac:dyDescent="0.35">
      <c r="D250" s="2"/>
    </row>
    <row r="251" spans="4:4" x14ac:dyDescent="0.35">
      <c r="D251" s="2"/>
    </row>
    <row r="252" spans="4:4" x14ac:dyDescent="0.35">
      <c r="D252" s="2"/>
    </row>
    <row r="253" spans="4:4" x14ac:dyDescent="0.35">
      <c r="D253" s="2"/>
    </row>
    <row r="254" spans="4:4" x14ac:dyDescent="0.35">
      <c r="D254" s="2"/>
    </row>
    <row r="255" spans="4:4" x14ac:dyDescent="0.35">
      <c r="D255" s="2"/>
    </row>
    <row r="256" spans="4:4" x14ac:dyDescent="0.35">
      <c r="D256" s="2"/>
    </row>
    <row r="257" spans="4:4" x14ac:dyDescent="0.35">
      <c r="D257" s="2"/>
    </row>
    <row r="258" spans="4:4" x14ac:dyDescent="0.35">
      <c r="D258" s="2"/>
    </row>
    <row r="259" spans="4:4" x14ac:dyDescent="0.35">
      <c r="D259" s="2"/>
    </row>
    <row r="260" spans="4:4" x14ac:dyDescent="0.35">
      <c r="D260" s="2"/>
    </row>
    <row r="261" spans="4:4" x14ac:dyDescent="0.35">
      <c r="D261" s="2"/>
    </row>
    <row r="262" spans="4:4" x14ac:dyDescent="0.35">
      <c r="D262" s="2"/>
    </row>
    <row r="263" spans="4:4" x14ac:dyDescent="0.35">
      <c r="D263" s="2"/>
    </row>
    <row r="264" spans="4:4" x14ac:dyDescent="0.35">
      <c r="D264" s="2"/>
    </row>
    <row r="265" spans="4:4" x14ac:dyDescent="0.35">
      <c r="D265" s="2"/>
    </row>
    <row r="266" spans="4:4" x14ac:dyDescent="0.35">
      <c r="D266" s="2"/>
    </row>
    <row r="267" spans="4:4" x14ac:dyDescent="0.35">
      <c r="D267" s="2"/>
    </row>
    <row r="268" spans="4:4" x14ac:dyDescent="0.35">
      <c r="D268" s="2"/>
    </row>
    <row r="269" spans="4:4" x14ac:dyDescent="0.35">
      <c r="D269" s="2"/>
    </row>
    <row r="270" spans="4:4" x14ac:dyDescent="0.35">
      <c r="D270" s="2"/>
    </row>
    <row r="271" spans="4:4" x14ac:dyDescent="0.35">
      <c r="D271" s="2"/>
    </row>
    <row r="272" spans="4:4" x14ac:dyDescent="0.35">
      <c r="D272" s="2"/>
    </row>
    <row r="273" spans="4:4" x14ac:dyDescent="0.35">
      <c r="D273" s="2"/>
    </row>
    <row r="274" spans="4:4" x14ac:dyDescent="0.35">
      <c r="D274" s="2"/>
    </row>
    <row r="275" spans="4:4" x14ac:dyDescent="0.35">
      <c r="D275" s="2"/>
    </row>
    <row r="276" spans="4:4" x14ac:dyDescent="0.35">
      <c r="D276" s="2"/>
    </row>
    <row r="277" spans="4:4" x14ac:dyDescent="0.35">
      <c r="D277" s="2"/>
    </row>
    <row r="278" spans="4:4" x14ac:dyDescent="0.35">
      <c r="D278" s="2"/>
    </row>
    <row r="279" spans="4:4" x14ac:dyDescent="0.35">
      <c r="D279" s="2"/>
    </row>
    <row r="280" spans="4:4" x14ac:dyDescent="0.35">
      <c r="D280" s="2"/>
    </row>
    <row r="281" spans="4:4" x14ac:dyDescent="0.35">
      <c r="D281" s="2"/>
    </row>
    <row r="282" spans="4:4" x14ac:dyDescent="0.35">
      <c r="D282" s="2"/>
    </row>
    <row r="283" spans="4:4" x14ac:dyDescent="0.35">
      <c r="D283" s="2"/>
    </row>
    <row r="284" spans="4:4" x14ac:dyDescent="0.35">
      <c r="D284" s="2"/>
    </row>
    <row r="285" spans="4:4" x14ac:dyDescent="0.35">
      <c r="D285" s="2"/>
    </row>
    <row r="286" spans="4:4" x14ac:dyDescent="0.35">
      <c r="D286" s="2"/>
    </row>
    <row r="287" spans="4:4" x14ac:dyDescent="0.35">
      <c r="D287" s="2"/>
    </row>
    <row r="288" spans="4:4" x14ac:dyDescent="0.35">
      <c r="D288" s="2"/>
    </row>
    <row r="289" spans="4:4" x14ac:dyDescent="0.35">
      <c r="D289" s="2"/>
    </row>
    <row r="290" spans="4:4" x14ac:dyDescent="0.35">
      <c r="D290" s="2"/>
    </row>
    <row r="291" spans="4:4" x14ac:dyDescent="0.35">
      <c r="D291" s="2"/>
    </row>
    <row r="292" spans="4:4" x14ac:dyDescent="0.35">
      <c r="D292" s="2"/>
    </row>
    <row r="293" spans="4:4" x14ac:dyDescent="0.35">
      <c r="D293" s="2"/>
    </row>
    <row r="294" spans="4:4" x14ac:dyDescent="0.35">
      <c r="D294" s="2"/>
    </row>
    <row r="295" spans="4:4" x14ac:dyDescent="0.35">
      <c r="D295" s="2"/>
    </row>
    <row r="296" spans="4:4" x14ac:dyDescent="0.35">
      <c r="D296" s="2"/>
    </row>
    <row r="297" spans="4:4" x14ac:dyDescent="0.35">
      <c r="D297" s="2"/>
    </row>
    <row r="298" spans="4:4" x14ac:dyDescent="0.35">
      <c r="D298" s="2"/>
    </row>
    <row r="299" spans="4:4" x14ac:dyDescent="0.35">
      <c r="D299" s="2"/>
    </row>
    <row r="300" spans="4:4" x14ac:dyDescent="0.35">
      <c r="D300" s="2"/>
    </row>
    <row r="301" spans="4:4" x14ac:dyDescent="0.35">
      <c r="D301" s="2"/>
    </row>
    <row r="302" spans="4:4" x14ac:dyDescent="0.35">
      <c r="D302" s="2"/>
    </row>
    <row r="303" spans="4:4" x14ac:dyDescent="0.35">
      <c r="D303" s="2"/>
    </row>
    <row r="304" spans="4:4" x14ac:dyDescent="0.35">
      <c r="D304" s="2"/>
    </row>
    <row r="305" spans="4:4" x14ac:dyDescent="0.35">
      <c r="D305" s="2"/>
    </row>
    <row r="306" spans="4:4" x14ac:dyDescent="0.35">
      <c r="D306" s="2"/>
    </row>
    <row r="307" spans="4:4" x14ac:dyDescent="0.35">
      <c r="D307" s="2"/>
    </row>
    <row r="308" spans="4:4" x14ac:dyDescent="0.35">
      <c r="D308" s="2"/>
    </row>
    <row r="309" spans="4:4" x14ac:dyDescent="0.35">
      <c r="D309" s="2"/>
    </row>
    <row r="310" spans="4:4" x14ac:dyDescent="0.35">
      <c r="D310" s="2"/>
    </row>
    <row r="311" spans="4:4" x14ac:dyDescent="0.35">
      <c r="D311" s="2"/>
    </row>
    <row r="312" spans="4:4" x14ac:dyDescent="0.35">
      <c r="D312" s="2"/>
    </row>
    <row r="313" spans="4:4" x14ac:dyDescent="0.35">
      <c r="D313" s="2"/>
    </row>
    <row r="314" spans="4:4" x14ac:dyDescent="0.35">
      <c r="D314" s="2"/>
    </row>
    <row r="315" spans="4:4" x14ac:dyDescent="0.35">
      <c r="D315" s="2"/>
    </row>
    <row r="316" spans="4:4" x14ac:dyDescent="0.35">
      <c r="D316" s="2"/>
    </row>
    <row r="317" spans="4:4" x14ac:dyDescent="0.35">
      <c r="D317" s="2"/>
    </row>
    <row r="318" spans="4:4" x14ac:dyDescent="0.35">
      <c r="D318" s="2"/>
    </row>
    <row r="319" spans="4:4" x14ac:dyDescent="0.35">
      <c r="D319" s="2"/>
    </row>
    <row r="320" spans="4:4" x14ac:dyDescent="0.35">
      <c r="D320" s="2"/>
    </row>
    <row r="321" spans="4:4" x14ac:dyDescent="0.35">
      <c r="D321" s="2"/>
    </row>
    <row r="322" spans="4:4" x14ac:dyDescent="0.35">
      <c r="D322" s="2"/>
    </row>
    <row r="323" spans="4:4" x14ac:dyDescent="0.35">
      <c r="D323" s="2"/>
    </row>
    <row r="324" spans="4:4" x14ac:dyDescent="0.35">
      <c r="D324" s="2"/>
    </row>
    <row r="325" spans="4:4" x14ac:dyDescent="0.35">
      <c r="D325" s="2"/>
    </row>
    <row r="326" spans="4:4" x14ac:dyDescent="0.35">
      <c r="D326" s="2"/>
    </row>
  </sheetData>
  <phoneticPr fontId="6" type="noConversion"/>
  <hyperlinks>
    <hyperlink ref="E2" r:id="rId1" xr:uid="{90EC4807-56A4-400A-A56A-6AC0E4E20C00}"/>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beginsWith" priority="201" operator="beginsWith" id="{6B2B2798-197A-4802-B6AA-2985AF4B32D8}">
            <xm:f>LEFT(B1,LEN('DATA VALIDATION LIST'!$A$32))='DATA VALIDATION LIST'!$A$32</xm:f>
            <xm:f>'DATA VALIDATION LIST'!$A$32</xm:f>
            <x14:dxf>
              <fill>
                <patternFill>
                  <bgColor rgb="FFFF66CC"/>
                </patternFill>
              </fill>
            </x14:dxf>
          </x14:cfRule>
          <x14:cfRule type="beginsWith" priority="202" operator="beginsWith" id="{973DB5D3-512E-4483-B0F2-C73A78EBADB4}">
            <xm:f>LEFT(B1,LEN('DATA VALIDATION LIST'!$A$31))='DATA VALIDATION LIST'!$A$31</xm:f>
            <xm:f>'DATA VALIDATION LIST'!$A$31</xm:f>
            <x14:dxf>
              <fill>
                <patternFill>
                  <bgColor theme="9" tint="0.79998168889431442"/>
                </patternFill>
              </fill>
            </x14:dxf>
          </x14:cfRule>
          <x14:cfRule type="beginsWith" priority="203" operator="beginsWith" id="{1D92238F-967A-480B-9569-3514C58D8F31}">
            <xm:f>LEFT(B1,LEN('DATA VALIDATION LIST'!$A$30))='DATA VALIDATION LIST'!$A$30</xm:f>
            <xm:f>'DATA VALIDATION LIST'!$A$30</xm:f>
            <x14:dxf>
              <fill>
                <patternFill>
                  <bgColor theme="5" tint="0.79998168889431442"/>
                </patternFill>
              </fill>
            </x14:dxf>
          </x14:cfRule>
          <x14:cfRule type="beginsWith" priority="204" operator="beginsWith" id="{9C50EF17-C3D5-4783-9CDD-7EA82A3772C0}">
            <xm:f>LEFT(B1,LEN('DATA VALIDATION LIST'!$A$29))='DATA VALIDATION LIST'!$A$29</xm:f>
            <xm:f>'DATA VALIDATION LIST'!$A$29</xm:f>
            <x14:dxf>
              <font>
                <color theme="0"/>
              </font>
              <fill>
                <patternFill>
                  <bgColor theme="4"/>
                </patternFill>
              </fill>
            </x14:dxf>
          </x14:cfRule>
          <x14:cfRule type="beginsWith" priority="205" operator="beginsWith" id="{57D1A6EC-319F-42A9-813D-3DEE94189D5C}">
            <xm:f>LEFT(B1,LEN('DATA VALIDATION LIST'!$A$28))='DATA VALIDATION LIST'!$A$28</xm:f>
            <xm:f>'DATA VALIDATION LIST'!$A$28</xm:f>
            <x14:dxf>
              <font>
                <color theme="0"/>
              </font>
              <fill>
                <patternFill>
                  <bgColor theme="6"/>
                </patternFill>
              </fill>
            </x14:dxf>
          </x14:cfRule>
          <x14:cfRule type="beginsWith" priority="206" operator="beginsWith" id="{F57388EB-FF2E-4022-8010-D478F4C7F9F9}">
            <xm:f>LEFT(B1,LEN('DATA VALIDATION LIST'!$A$27))='DATA VALIDATION LIST'!$A$27</xm:f>
            <xm:f>'DATA VALIDATION LIST'!$A$27</xm:f>
            <x14:dxf>
              <fill>
                <patternFill>
                  <bgColor rgb="FFEE954C"/>
                </patternFill>
              </fill>
            </x14:dxf>
          </x14:cfRule>
          <x14:cfRule type="beginsWith" priority="215" operator="beginsWith" id="{FE211322-6184-49DC-A9EF-FB9A1418C7F9}">
            <xm:f>LEFT(B1,LEN('DATA VALIDATION LIST'!$A$26))='DATA VALIDATION LIST'!$A$26</xm:f>
            <xm:f>'DATA VALIDATION LIST'!$A$26</xm:f>
            <x14:dxf>
              <fill>
                <patternFill>
                  <bgColor rgb="FF33CCCC"/>
                </patternFill>
              </fill>
            </x14:dxf>
          </x14:cfRule>
          <x14:cfRule type="beginsWith" priority="216" operator="beginsWith" id="{5FA0B25F-D862-4425-B5A0-0B1EA75C0C4E}">
            <xm:f>LEFT(B1,LEN('DATA VALIDATION LIST'!$A$22))='DATA VALIDATION LIST'!$A$22</xm:f>
            <xm:f>'DATA VALIDATION LIST'!$A$22</xm:f>
            <x14:dxf>
              <fill>
                <patternFill>
                  <bgColor rgb="FF92D050"/>
                </patternFill>
              </fill>
            </x14:dxf>
          </x14:cfRule>
          <x14:cfRule type="beginsWith" priority="217" operator="beginsWith" id="{A4936DD9-AA55-4339-9E41-910D06B5616F}">
            <xm:f>LEFT(B1,LEN('DATA VALIDATION LIST'!$A$21))='DATA VALIDATION LIST'!$A$21</xm:f>
            <xm:f>'DATA VALIDATION LIST'!$A$21</xm:f>
            <x14:dxf>
              <fill>
                <patternFill>
                  <bgColor theme="8" tint="0.79998168889431442"/>
                </patternFill>
              </fill>
            </x14:dxf>
          </x14:cfRule>
          <x14:cfRule type="beginsWith" priority="218" operator="beginsWith" id="{557A6276-1863-4B76-9B38-8677D815C388}">
            <xm:f>LEFT(B1,LEN('DATA VALIDATION LIST'!$A$20))='DATA VALIDATION LIST'!$A$20</xm:f>
            <xm:f>'DATA VALIDATION LIST'!$A$20</xm:f>
            <x14:dxf>
              <fill>
                <patternFill>
                  <bgColor rgb="FFFFCE33"/>
                </patternFill>
              </fill>
            </x14:dxf>
          </x14:cfRule>
          <xm:sqref>B1:B82 B92:B95 B130:B133 B138:B1048576</xm:sqref>
        </x14:conditionalFormatting>
        <x14:conditionalFormatting xmlns:xm="http://schemas.microsoft.com/office/excel/2006/main">
          <x14:cfRule type="beginsWith" priority="191" operator="beginsWith" id="{A575616D-B492-41C1-BE3E-C7BBBE8203F5}">
            <xm:f>LEFT(B85,LEN('DATA VALIDATION LIST'!$A$32))='DATA VALIDATION LIST'!$A$32</xm:f>
            <xm:f>'DATA VALIDATION LIST'!$A$32</xm:f>
            <x14:dxf>
              <fill>
                <patternFill>
                  <bgColor rgb="FFFF66CC"/>
                </patternFill>
              </fill>
            </x14:dxf>
          </x14:cfRule>
          <x14:cfRule type="beginsWith" priority="192" operator="beginsWith" id="{0F39CA55-B8FF-43C3-9910-6361D7B460A3}">
            <xm:f>LEFT(B85,LEN('DATA VALIDATION LIST'!$A$31))='DATA VALIDATION LIST'!$A$31</xm:f>
            <xm:f>'DATA VALIDATION LIST'!$A$31</xm:f>
            <x14:dxf>
              <fill>
                <patternFill>
                  <bgColor theme="9" tint="0.79998168889431442"/>
                </patternFill>
              </fill>
            </x14:dxf>
          </x14:cfRule>
          <x14:cfRule type="beginsWith" priority="193" operator="beginsWith" id="{8CBE1898-7270-4ABB-83FD-E1D8F1C9389A}">
            <xm:f>LEFT(B85,LEN('DATA VALIDATION LIST'!$A$30))='DATA VALIDATION LIST'!$A$30</xm:f>
            <xm:f>'DATA VALIDATION LIST'!$A$30</xm:f>
            <x14:dxf>
              <fill>
                <patternFill>
                  <bgColor theme="5" tint="0.79998168889431442"/>
                </patternFill>
              </fill>
            </x14:dxf>
          </x14:cfRule>
          <x14:cfRule type="beginsWith" priority="194" operator="beginsWith" id="{003DEF37-F29D-47C8-AA62-3FF7CB47077A}">
            <xm:f>LEFT(B85,LEN('DATA VALIDATION LIST'!$A$29))='DATA VALIDATION LIST'!$A$29</xm:f>
            <xm:f>'DATA VALIDATION LIST'!$A$29</xm:f>
            <x14:dxf>
              <font>
                <color theme="0"/>
              </font>
              <fill>
                <patternFill>
                  <bgColor theme="4"/>
                </patternFill>
              </fill>
            </x14:dxf>
          </x14:cfRule>
          <x14:cfRule type="beginsWith" priority="195" operator="beginsWith" id="{5B842D5F-EFBB-41AC-9AC4-C7EB732ADC0B}">
            <xm:f>LEFT(B85,LEN('DATA VALIDATION LIST'!$A$28))='DATA VALIDATION LIST'!$A$28</xm:f>
            <xm:f>'DATA VALIDATION LIST'!$A$28</xm:f>
            <x14:dxf>
              <font>
                <color theme="0"/>
              </font>
              <fill>
                <patternFill>
                  <bgColor theme="6"/>
                </patternFill>
              </fill>
            </x14:dxf>
          </x14:cfRule>
          <x14:cfRule type="beginsWith" priority="196" operator="beginsWith" id="{B9AB26A5-6610-4808-9889-6E7E2C288BED}">
            <xm:f>LEFT(B85,LEN('DATA VALIDATION LIST'!$A$27))='DATA VALIDATION LIST'!$A$27</xm:f>
            <xm:f>'DATA VALIDATION LIST'!$A$27</xm:f>
            <x14:dxf>
              <fill>
                <patternFill>
                  <bgColor rgb="FFEE954C"/>
                </patternFill>
              </fill>
            </x14:dxf>
          </x14:cfRule>
          <x14:cfRule type="beginsWith" priority="197" operator="beginsWith" id="{70C3B000-6EE2-4551-93C3-55DC8FA150B6}">
            <xm:f>LEFT(B85,LEN('DATA VALIDATION LIST'!$A$26))='DATA VALIDATION LIST'!$A$26</xm:f>
            <xm:f>'DATA VALIDATION LIST'!$A$26</xm:f>
            <x14:dxf>
              <fill>
                <patternFill>
                  <bgColor rgb="FF33CCCC"/>
                </patternFill>
              </fill>
            </x14:dxf>
          </x14:cfRule>
          <x14:cfRule type="beginsWith" priority="198" operator="beginsWith" id="{5AFEF27B-B85A-4F73-B49D-0917F5571C64}">
            <xm:f>LEFT(B85,LEN('DATA VALIDATION LIST'!$A$22))='DATA VALIDATION LIST'!$A$22</xm:f>
            <xm:f>'DATA VALIDATION LIST'!$A$22</xm:f>
            <x14:dxf>
              <fill>
                <patternFill>
                  <bgColor rgb="FF92D050"/>
                </patternFill>
              </fill>
            </x14:dxf>
          </x14:cfRule>
          <x14:cfRule type="beginsWith" priority="199" operator="beginsWith" id="{F09B380A-1A4E-4E7E-8125-FCEE375CB051}">
            <xm:f>LEFT(B85,LEN('DATA VALIDATION LIST'!$A$21))='DATA VALIDATION LIST'!$A$21</xm:f>
            <xm:f>'DATA VALIDATION LIST'!$A$21</xm:f>
            <x14:dxf>
              <fill>
                <patternFill>
                  <bgColor theme="8" tint="0.79998168889431442"/>
                </patternFill>
              </fill>
            </x14:dxf>
          </x14:cfRule>
          <x14:cfRule type="beginsWith" priority="200" operator="beginsWith" id="{4085217D-58F3-4B36-9598-48382E326C3C}">
            <xm:f>LEFT(B85,LEN('DATA VALIDATION LIST'!$A$20))='DATA VALIDATION LIST'!$A$20</xm:f>
            <xm:f>'DATA VALIDATION LIST'!$A$20</xm:f>
            <x14:dxf>
              <fill>
                <patternFill>
                  <bgColor rgb="FFFFCE33"/>
                </patternFill>
              </fill>
            </x14:dxf>
          </x14:cfRule>
          <xm:sqref>B85</xm:sqref>
        </x14:conditionalFormatting>
        <x14:conditionalFormatting xmlns:xm="http://schemas.microsoft.com/office/excel/2006/main">
          <x14:cfRule type="beginsWith" priority="181" operator="beginsWith" id="{83A2AA2C-0CB9-4C55-92DC-6F8A72C7AD85}">
            <xm:f>LEFT(B86,LEN('DATA VALIDATION LIST'!$A$32))='DATA VALIDATION LIST'!$A$32</xm:f>
            <xm:f>'DATA VALIDATION LIST'!$A$32</xm:f>
            <x14:dxf>
              <fill>
                <patternFill>
                  <bgColor rgb="FFFF66CC"/>
                </patternFill>
              </fill>
            </x14:dxf>
          </x14:cfRule>
          <x14:cfRule type="beginsWith" priority="182" operator="beginsWith" id="{2444A0AC-AC3E-4625-9FB8-639EE1D7F42E}">
            <xm:f>LEFT(B86,LEN('DATA VALIDATION LIST'!$A$31))='DATA VALIDATION LIST'!$A$31</xm:f>
            <xm:f>'DATA VALIDATION LIST'!$A$31</xm:f>
            <x14:dxf>
              <fill>
                <patternFill>
                  <bgColor theme="9" tint="0.79998168889431442"/>
                </patternFill>
              </fill>
            </x14:dxf>
          </x14:cfRule>
          <x14:cfRule type="beginsWith" priority="183" operator="beginsWith" id="{21C071A0-0EB4-4FA1-8C1A-B4632DA591E6}">
            <xm:f>LEFT(B86,LEN('DATA VALIDATION LIST'!$A$30))='DATA VALIDATION LIST'!$A$30</xm:f>
            <xm:f>'DATA VALIDATION LIST'!$A$30</xm:f>
            <x14:dxf>
              <fill>
                <patternFill>
                  <bgColor theme="5" tint="0.79998168889431442"/>
                </patternFill>
              </fill>
            </x14:dxf>
          </x14:cfRule>
          <x14:cfRule type="beginsWith" priority="184" operator="beginsWith" id="{26D2A594-3D01-44FA-B1D3-3DD855B8019E}">
            <xm:f>LEFT(B86,LEN('DATA VALIDATION LIST'!$A$29))='DATA VALIDATION LIST'!$A$29</xm:f>
            <xm:f>'DATA VALIDATION LIST'!$A$29</xm:f>
            <x14:dxf>
              <font>
                <color theme="0"/>
              </font>
              <fill>
                <patternFill>
                  <bgColor theme="4"/>
                </patternFill>
              </fill>
            </x14:dxf>
          </x14:cfRule>
          <x14:cfRule type="beginsWith" priority="185" operator="beginsWith" id="{D774DCE4-1822-4133-8FF6-0C179B11BDF6}">
            <xm:f>LEFT(B86,LEN('DATA VALIDATION LIST'!$A$28))='DATA VALIDATION LIST'!$A$28</xm:f>
            <xm:f>'DATA VALIDATION LIST'!$A$28</xm:f>
            <x14:dxf>
              <font>
                <color theme="0"/>
              </font>
              <fill>
                <patternFill>
                  <bgColor theme="6"/>
                </patternFill>
              </fill>
            </x14:dxf>
          </x14:cfRule>
          <x14:cfRule type="beginsWith" priority="186" operator="beginsWith" id="{8152A67F-0D2A-42EA-8F59-D826318982DC}">
            <xm:f>LEFT(B86,LEN('DATA VALIDATION LIST'!$A$27))='DATA VALIDATION LIST'!$A$27</xm:f>
            <xm:f>'DATA VALIDATION LIST'!$A$27</xm:f>
            <x14:dxf>
              <fill>
                <patternFill>
                  <bgColor rgb="FFEE954C"/>
                </patternFill>
              </fill>
            </x14:dxf>
          </x14:cfRule>
          <x14:cfRule type="beginsWith" priority="187" operator="beginsWith" id="{C76BD416-5E85-43F5-A309-D7754A7D2143}">
            <xm:f>LEFT(B86,LEN('DATA VALIDATION LIST'!$A$26))='DATA VALIDATION LIST'!$A$26</xm:f>
            <xm:f>'DATA VALIDATION LIST'!$A$26</xm:f>
            <x14:dxf>
              <fill>
                <patternFill>
                  <bgColor rgb="FF33CCCC"/>
                </patternFill>
              </fill>
            </x14:dxf>
          </x14:cfRule>
          <x14:cfRule type="beginsWith" priority="188" operator="beginsWith" id="{C147FBE1-E636-48DA-BD80-0AE70605C0D6}">
            <xm:f>LEFT(B86,LEN('DATA VALIDATION LIST'!$A$22))='DATA VALIDATION LIST'!$A$22</xm:f>
            <xm:f>'DATA VALIDATION LIST'!$A$22</xm:f>
            <x14:dxf>
              <fill>
                <patternFill>
                  <bgColor rgb="FF92D050"/>
                </patternFill>
              </fill>
            </x14:dxf>
          </x14:cfRule>
          <x14:cfRule type="beginsWith" priority="189" operator="beginsWith" id="{2D654AB0-E264-4EF4-94B8-C2D0CEB5B8C7}">
            <xm:f>LEFT(B86,LEN('DATA VALIDATION LIST'!$A$21))='DATA VALIDATION LIST'!$A$21</xm:f>
            <xm:f>'DATA VALIDATION LIST'!$A$21</xm:f>
            <x14:dxf>
              <fill>
                <patternFill>
                  <bgColor theme="8" tint="0.79998168889431442"/>
                </patternFill>
              </fill>
            </x14:dxf>
          </x14:cfRule>
          <x14:cfRule type="beginsWith" priority="190" operator="beginsWith" id="{39324CC9-897E-474D-8A1D-D21C88E27EA0}">
            <xm:f>LEFT(B86,LEN('DATA VALIDATION LIST'!$A$20))='DATA VALIDATION LIST'!$A$20</xm:f>
            <xm:f>'DATA VALIDATION LIST'!$A$20</xm:f>
            <x14:dxf>
              <fill>
                <patternFill>
                  <bgColor rgb="FFFFCE33"/>
                </patternFill>
              </fill>
            </x14:dxf>
          </x14:cfRule>
          <xm:sqref>B86:B89</xm:sqref>
        </x14:conditionalFormatting>
        <x14:conditionalFormatting xmlns:xm="http://schemas.microsoft.com/office/excel/2006/main">
          <x14:cfRule type="beginsWith" priority="171" operator="beginsWith" id="{01921CF3-B38F-46CD-999B-14F34D06F4C5}">
            <xm:f>LEFT(B91,LEN('DATA VALIDATION LIST'!$A$32))='DATA VALIDATION LIST'!$A$32</xm:f>
            <xm:f>'DATA VALIDATION LIST'!$A$32</xm:f>
            <x14:dxf>
              <fill>
                <patternFill>
                  <bgColor rgb="FFFF66CC"/>
                </patternFill>
              </fill>
            </x14:dxf>
          </x14:cfRule>
          <x14:cfRule type="beginsWith" priority="172" operator="beginsWith" id="{E55E2CD9-05DA-40DF-AE6E-8D77D60C32C2}">
            <xm:f>LEFT(B91,LEN('DATA VALIDATION LIST'!$A$31))='DATA VALIDATION LIST'!$A$31</xm:f>
            <xm:f>'DATA VALIDATION LIST'!$A$31</xm:f>
            <x14:dxf>
              <fill>
                <patternFill>
                  <bgColor theme="9" tint="0.79998168889431442"/>
                </patternFill>
              </fill>
            </x14:dxf>
          </x14:cfRule>
          <x14:cfRule type="beginsWith" priority="173" operator="beginsWith" id="{B2CCDAF2-C12C-46A0-A657-E33CBF215F73}">
            <xm:f>LEFT(B91,LEN('DATA VALIDATION LIST'!$A$30))='DATA VALIDATION LIST'!$A$30</xm:f>
            <xm:f>'DATA VALIDATION LIST'!$A$30</xm:f>
            <x14:dxf>
              <fill>
                <patternFill>
                  <bgColor theme="5" tint="0.79998168889431442"/>
                </patternFill>
              </fill>
            </x14:dxf>
          </x14:cfRule>
          <x14:cfRule type="beginsWith" priority="174" operator="beginsWith" id="{087C255C-18E1-4766-8C1C-0067FF38F81E}">
            <xm:f>LEFT(B91,LEN('DATA VALIDATION LIST'!$A$29))='DATA VALIDATION LIST'!$A$29</xm:f>
            <xm:f>'DATA VALIDATION LIST'!$A$29</xm:f>
            <x14:dxf>
              <font>
                <color theme="0"/>
              </font>
              <fill>
                <patternFill>
                  <bgColor theme="4"/>
                </patternFill>
              </fill>
            </x14:dxf>
          </x14:cfRule>
          <x14:cfRule type="beginsWith" priority="175" operator="beginsWith" id="{03443527-9735-4FEC-9FD0-AAC4A2CD167A}">
            <xm:f>LEFT(B91,LEN('DATA VALIDATION LIST'!$A$28))='DATA VALIDATION LIST'!$A$28</xm:f>
            <xm:f>'DATA VALIDATION LIST'!$A$28</xm:f>
            <x14:dxf>
              <font>
                <color theme="0"/>
              </font>
              <fill>
                <patternFill>
                  <bgColor theme="6"/>
                </patternFill>
              </fill>
            </x14:dxf>
          </x14:cfRule>
          <x14:cfRule type="beginsWith" priority="176" operator="beginsWith" id="{EBE78E34-8A03-4551-8C02-FA24271406BE}">
            <xm:f>LEFT(B91,LEN('DATA VALIDATION LIST'!$A$27))='DATA VALIDATION LIST'!$A$27</xm:f>
            <xm:f>'DATA VALIDATION LIST'!$A$27</xm:f>
            <x14:dxf>
              <fill>
                <patternFill>
                  <bgColor rgb="FFEE954C"/>
                </patternFill>
              </fill>
            </x14:dxf>
          </x14:cfRule>
          <x14:cfRule type="beginsWith" priority="177" operator="beginsWith" id="{FC5B6712-09FC-4FC7-9584-B98BD63DC1A8}">
            <xm:f>LEFT(B91,LEN('DATA VALIDATION LIST'!$A$26))='DATA VALIDATION LIST'!$A$26</xm:f>
            <xm:f>'DATA VALIDATION LIST'!$A$26</xm:f>
            <x14:dxf>
              <fill>
                <patternFill>
                  <bgColor rgb="FF33CCCC"/>
                </patternFill>
              </fill>
            </x14:dxf>
          </x14:cfRule>
          <x14:cfRule type="beginsWith" priority="178" operator="beginsWith" id="{736783F2-E310-4828-B502-34F27D4B154E}">
            <xm:f>LEFT(B91,LEN('DATA VALIDATION LIST'!$A$22))='DATA VALIDATION LIST'!$A$22</xm:f>
            <xm:f>'DATA VALIDATION LIST'!$A$22</xm:f>
            <x14:dxf>
              <fill>
                <patternFill>
                  <bgColor rgb="FF92D050"/>
                </patternFill>
              </fill>
            </x14:dxf>
          </x14:cfRule>
          <x14:cfRule type="beginsWith" priority="179" operator="beginsWith" id="{CA589864-76F3-4A62-BA04-5787EB747123}">
            <xm:f>LEFT(B91,LEN('DATA VALIDATION LIST'!$A$21))='DATA VALIDATION LIST'!$A$21</xm:f>
            <xm:f>'DATA VALIDATION LIST'!$A$21</xm:f>
            <x14:dxf>
              <fill>
                <patternFill>
                  <bgColor theme="8" tint="0.79998168889431442"/>
                </patternFill>
              </fill>
            </x14:dxf>
          </x14:cfRule>
          <x14:cfRule type="beginsWith" priority="180" operator="beginsWith" id="{239F44CF-5994-4958-BD08-434E0F704DE5}">
            <xm:f>LEFT(B91,LEN('DATA VALIDATION LIST'!$A$20))='DATA VALIDATION LIST'!$A$20</xm:f>
            <xm:f>'DATA VALIDATION LIST'!$A$20</xm:f>
            <x14:dxf>
              <fill>
                <patternFill>
                  <bgColor rgb="FFFFCE33"/>
                </patternFill>
              </fill>
            </x14:dxf>
          </x14:cfRule>
          <xm:sqref>B91</xm:sqref>
        </x14:conditionalFormatting>
        <x14:conditionalFormatting xmlns:xm="http://schemas.microsoft.com/office/excel/2006/main">
          <x14:cfRule type="beginsWith" priority="161" operator="beginsWith" id="{43C108CF-1FFA-4969-9DFE-1F6A0C10A856}">
            <xm:f>LEFT(B97,LEN('DATA VALIDATION LIST'!$A$32))='DATA VALIDATION LIST'!$A$32</xm:f>
            <xm:f>'DATA VALIDATION LIST'!$A$32</xm:f>
            <x14:dxf>
              <fill>
                <patternFill>
                  <bgColor rgb="FFFF66CC"/>
                </patternFill>
              </fill>
            </x14:dxf>
          </x14:cfRule>
          <x14:cfRule type="beginsWith" priority="162" operator="beginsWith" id="{B3874B76-DB4B-4DEB-8F0A-AB48136E5F98}">
            <xm:f>LEFT(B97,LEN('DATA VALIDATION LIST'!$A$31))='DATA VALIDATION LIST'!$A$31</xm:f>
            <xm:f>'DATA VALIDATION LIST'!$A$31</xm:f>
            <x14:dxf>
              <fill>
                <patternFill>
                  <bgColor theme="9" tint="0.79998168889431442"/>
                </patternFill>
              </fill>
            </x14:dxf>
          </x14:cfRule>
          <x14:cfRule type="beginsWith" priority="163" operator="beginsWith" id="{95AF296E-A73D-439B-8B8E-08BF11D460DA}">
            <xm:f>LEFT(B97,LEN('DATA VALIDATION LIST'!$A$30))='DATA VALIDATION LIST'!$A$30</xm:f>
            <xm:f>'DATA VALIDATION LIST'!$A$30</xm:f>
            <x14:dxf>
              <fill>
                <patternFill>
                  <bgColor theme="5" tint="0.79998168889431442"/>
                </patternFill>
              </fill>
            </x14:dxf>
          </x14:cfRule>
          <x14:cfRule type="beginsWith" priority="164" operator="beginsWith" id="{593D138D-ABB6-4686-A818-E9D61872265D}">
            <xm:f>LEFT(B97,LEN('DATA VALIDATION LIST'!$A$29))='DATA VALIDATION LIST'!$A$29</xm:f>
            <xm:f>'DATA VALIDATION LIST'!$A$29</xm:f>
            <x14:dxf>
              <font>
                <color theme="0"/>
              </font>
              <fill>
                <patternFill>
                  <bgColor theme="4"/>
                </patternFill>
              </fill>
            </x14:dxf>
          </x14:cfRule>
          <x14:cfRule type="beginsWith" priority="165" operator="beginsWith" id="{54000028-176B-46FD-A5B4-085F8E6EF487}">
            <xm:f>LEFT(B97,LEN('DATA VALIDATION LIST'!$A$28))='DATA VALIDATION LIST'!$A$28</xm:f>
            <xm:f>'DATA VALIDATION LIST'!$A$28</xm:f>
            <x14:dxf>
              <font>
                <color theme="0"/>
              </font>
              <fill>
                <patternFill>
                  <bgColor theme="6"/>
                </patternFill>
              </fill>
            </x14:dxf>
          </x14:cfRule>
          <x14:cfRule type="beginsWith" priority="166" operator="beginsWith" id="{DF822F16-6291-4CDC-B832-B9112B17A6EC}">
            <xm:f>LEFT(B97,LEN('DATA VALIDATION LIST'!$A$27))='DATA VALIDATION LIST'!$A$27</xm:f>
            <xm:f>'DATA VALIDATION LIST'!$A$27</xm:f>
            <x14:dxf>
              <fill>
                <patternFill>
                  <bgColor rgb="FFEE954C"/>
                </patternFill>
              </fill>
            </x14:dxf>
          </x14:cfRule>
          <x14:cfRule type="beginsWith" priority="167" operator="beginsWith" id="{A93594FF-E7BC-4AAF-906E-1E053F08BD3A}">
            <xm:f>LEFT(B97,LEN('DATA VALIDATION LIST'!$A$26))='DATA VALIDATION LIST'!$A$26</xm:f>
            <xm:f>'DATA VALIDATION LIST'!$A$26</xm:f>
            <x14:dxf>
              <fill>
                <patternFill>
                  <bgColor rgb="FF33CCCC"/>
                </patternFill>
              </fill>
            </x14:dxf>
          </x14:cfRule>
          <x14:cfRule type="beginsWith" priority="168" operator="beginsWith" id="{A260C8A0-B29C-411E-8079-E99C03E4080E}">
            <xm:f>LEFT(B97,LEN('DATA VALIDATION LIST'!$A$22))='DATA VALIDATION LIST'!$A$22</xm:f>
            <xm:f>'DATA VALIDATION LIST'!$A$22</xm:f>
            <x14:dxf>
              <fill>
                <patternFill>
                  <bgColor rgb="FF92D050"/>
                </patternFill>
              </fill>
            </x14:dxf>
          </x14:cfRule>
          <x14:cfRule type="beginsWith" priority="169" operator="beginsWith" id="{9E959755-20CA-4AE9-9D82-77F0B3483BF2}">
            <xm:f>LEFT(B97,LEN('DATA VALIDATION LIST'!$A$21))='DATA VALIDATION LIST'!$A$21</xm:f>
            <xm:f>'DATA VALIDATION LIST'!$A$21</xm:f>
            <x14:dxf>
              <fill>
                <patternFill>
                  <bgColor theme="8" tint="0.79998168889431442"/>
                </patternFill>
              </fill>
            </x14:dxf>
          </x14:cfRule>
          <x14:cfRule type="beginsWith" priority="170" operator="beginsWith" id="{0CF0758B-0605-40C8-B9A6-6F7FCF91A39D}">
            <xm:f>LEFT(B97,LEN('DATA VALIDATION LIST'!$A$20))='DATA VALIDATION LIST'!$A$20</xm:f>
            <xm:f>'DATA VALIDATION LIST'!$A$20</xm:f>
            <x14:dxf>
              <fill>
                <patternFill>
                  <bgColor rgb="FFFFCE33"/>
                </patternFill>
              </fill>
            </x14:dxf>
          </x14:cfRule>
          <xm:sqref>B97</xm:sqref>
        </x14:conditionalFormatting>
        <x14:conditionalFormatting xmlns:xm="http://schemas.microsoft.com/office/excel/2006/main">
          <x14:cfRule type="beginsWith" priority="151" operator="beginsWith" id="{241C6CBD-1967-4A3A-945A-96DBA492549F}">
            <xm:f>LEFT(B98,LEN('DATA VALIDATION LIST'!$A$32))='DATA VALIDATION LIST'!$A$32</xm:f>
            <xm:f>'DATA VALIDATION LIST'!$A$32</xm:f>
            <x14:dxf>
              <fill>
                <patternFill>
                  <bgColor rgb="FFFF66CC"/>
                </patternFill>
              </fill>
            </x14:dxf>
          </x14:cfRule>
          <x14:cfRule type="beginsWith" priority="152" operator="beginsWith" id="{C3A6BB18-6978-46A2-8BB8-B40587FB0A2C}">
            <xm:f>LEFT(B98,LEN('DATA VALIDATION LIST'!$A$31))='DATA VALIDATION LIST'!$A$31</xm:f>
            <xm:f>'DATA VALIDATION LIST'!$A$31</xm:f>
            <x14:dxf>
              <fill>
                <patternFill>
                  <bgColor theme="9" tint="0.79998168889431442"/>
                </patternFill>
              </fill>
            </x14:dxf>
          </x14:cfRule>
          <x14:cfRule type="beginsWith" priority="153" operator="beginsWith" id="{EAB0067E-C65C-4851-BF14-18BDBF4727FC}">
            <xm:f>LEFT(B98,LEN('DATA VALIDATION LIST'!$A$30))='DATA VALIDATION LIST'!$A$30</xm:f>
            <xm:f>'DATA VALIDATION LIST'!$A$30</xm:f>
            <x14:dxf>
              <fill>
                <patternFill>
                  <bgColor theme="5" tint="0.79998168889431442"/>
                </patternFill>
              </fill>
            </x14:dxf>
          </x14:cfRule>
          <x14:cfRule type="beginsWith" priority="154" operator="beginsWith" id="{913280C7-A6EC-4BE5-8763-53477E19170C}">
            <xm:f>LEFT(B98,LEN('DATA VALIDATION LIST'!$A$29))='DATA VALIDATION LIST'!$A$29</xm:f>
            <xm:f>'DATA VALIDATION LIST'!$A$29</xm:f>
            <x14:dxf>
              <font>
                <color theme="0"/>
              </font>
              <fill>
                <patternFill>
                  <bgColor theme="4"/>
                </patternFill>
              </fill>
            </x14:dxf>
          </x14:cfRule>
          <x14:cfRule type="beginsWith" priority="155" operator="beginsWith" id="{AB80F0A4-7130-46EF-9710-5BDBA26DF15B}">
            <xm:f>LEFT(B98,LEN('DATA VALIDATION LIST'!$A$28))='DATA VALIDATION LIST'!$A$28</xm:f>
            <xm:f>'DATA VALIDATION LIST'!$A$28</xm:f>
            <x14:dxf>
              <font>
                <color theme="0"/>
              </font>
              <fill>
                <patternFill>
                  <bgColor theme="6"/>
                </patternFill>
              </fill>
            </x14:dxf>
          </x14:cfRule>
          <x14:cfRule type="beginsWith" priority="156" operator="beginsWith" id="{61D3271B-2B94-41B0-927C-50263B07DE65}">
            <xm:f>LEFT(B98,LEN('DATA VALIDATION LIST'!$A$27))='DATA VALIDATION LIST'!$A$27</xm:f>
            <xm:f>'DATA VALIDATION LIST'!$A$27</xm:f>
            <x14:dxf>
              <fill>
                <patternFill>
                  <bgColor rgb="FFEE954C"/>
                </patternFill>
              </fill>
            </x14:dxf>
          </x14:cfRule>
          <x14:cfRule type="beginsWith" priority="157" operator="beginsWith" id="{E1FB77CC-7B22-4A5D-941F-49B1960C29D1}">
            <xm:f>LEFT(B98,LEN('DATA VALIDATION LIST'!$A$26))='DATA VALIDATION LIST'!$A$26</xm:f>
            <xm:f>'DATA VALIDATION LIST'!$A$26</xm:f>
            <x14:dxf>
              <fill>
                <patternFill>
                  <bgColor rgb="FF33CCCC"/>
                </patternFill>
              </fill>
            </x14:dxf>
          </x14:cfRule>
          <x14:cfRule type="beginsWith" priority="158" operator="beginsWith" id="{45057ACA-D4B6-4800-8CB9-9E3E6FCE0AAF}">
            <xm:f>LEFT(B98,LEN('DATA VALIDATION LIST'!$A$22))='DATA VALIDATION LIST'!$A$22</xm:f>
            <xm:f>'DATA VALIDATION LIST'!$A$22</xm:f>
            <x14:dxf>
              <fill>
                <patternFill>
                  <bgColor rgb="FF92D050"/>
                </patternFill>
              </fill>
            </x14:dxf>
          </x14:cfRule>
          <x14:cfRule type="beginsWith" priority="159" operator="beginsWith" id="{2AD74A2B-DA1C-44FA-AB4E-CC4E099A9DB8}">
            <xm:f>LEFT(B98,LEN('DATA VALIDATION LIST'!$A$21))='DATA VALIDATION LIST'!$A$21</xm:f>
            <xm:f>'DATA VALIDATION LIST'!$A$21</xm:f>
            <x14:dxf>
              <fill>
                <patternFill>
                  <bgColor theme="8" tint="0.79998168889431442"/>
                </patternFill>
              </fill>
            </x14:dxf>
          </x14:cfRule>
          <x14:cfRule type="beginsWith" priority="160" operator="beginsWith" id="{C5466122-220F-44AB-8881-2E95F50918E1}">
            <xm:f>LEFT(B98,LEN('DATA VALIDATION LIST'!$A$20))='DATA VALIDATION LIST'!$A$20</xm:f>
            <xm:f>'DATA VALIDATION LIST'!$A$20</xm:f>
            <x14:dxf>
              <fill>
                <patternFill>
                  <bgColor rgb="FFFFCE33"/>
                </patternFill>
              </fill>
            </x14:dxf>
          </x14:cfRule>
          <xm:sqref>B98:B105</xm:sqref>
        </x14:conditionalFormatting>
        <x14:conditionalFormatting xmlns:xm="http://schemas.microsoft.com/office/excel/2006/main">
          <x14:cfRule type="beginsWith" priority="141" operator="beginsWith" id="{715DA91A-97DD-45C2-B14C-A5F1E58F4056}">
            <xm:f>LEFT(B107,LEN('DATA VALIDATION LIST'!$A$32))='DATA VALIDATION LIST'!$A$32</xm:f>
            <xm:f>'DATA VALIDATION LIST'!$A$32</xm:f>
            <x14:dxf>
              <fill>
                <patternFill>
                  <bgColor rgb="FFFF66CC"/>
                </patternFill>
              </fill>
            </x14:dxf>
          </x14:cfRule>
          <x14:cfRule type="beginsWith" priority="142" operator="beginsWith" id="{4D008FC6-C35F-4900-A60E-09A517E7BFEB}">
            <xm:f>LEFT(B107,LEN('DATA VALIDATION LIST'!$A$31))='DATA VALIDATION LIST'!$A$31</xm:f>
            <xm:f>'DATA VALIDATION LIST'!$A$31</xm:f>
            <x14:dxf>
              <fill>
                <patternFill>
                  <bgColor theme="9" tint="0.79998168889431442"/>
                </patternFill>
              </fill>
            </x14:dxf>
          </x14:cfRule>
          <x14:cfRule type="beginsWith" priority="143" operator="beginsWith" id="{8FAC75C0-C0F2-4CC3-A144-BC04419214FF}">
            <xm:f>LEFT(B107,LEN('DATA VALIDATION LIST'!$A$30))='DATA VALIDATION LIST'!$A$30</xm:f>
            <xm:f>'DATA VALIDATION LIST'!$A$30</xm:f>
            <x14:dxf>
              <fill>
                <patternFill>
                  <bgColor theme="5" tint="0.79998168889431442"/>
                </patternFill>
              </fill>
            </x14:dxf>
          </x14:cfRule>
          <x14:cfRule type="beginsWith" priority="144" operator="beginsWith" id="{27F013FC-1BA2-4495-AAC9-559C300826E5}">
            <xm:f>LEFT(B107,LEN('DATA VALIDATION LIST'!$A$29))='DATA VALIDATION LIST'!$A$29</xm:f>
            <xm:f>'DATA VALIDATION LIST'!$A$29</xm:f>
            <x14:dxf>
              <font>
                <color theme="0"/>
              </font>
              <fill>
                <patternFill>
                  <bgColor theme="4"/>
                </patternFill>
              </fill>
            </x14:dxf>
          </x14:cfRule>
          <x14:cfRule type="beginsWith" priority="145" operator="beginsWith" id="{F60FAA98-8540-4887-88D3-2920CE4FD2E0}">
            <xm:f>LEFT(B107,LEN('DATA VALIDATION LIST'!$A$28))='DATA VALIDATION LIST'!$A$28</xm:f>
            <xm:f>'DATA VALIDATION LIST'!$A$28</xm:f>
            <x14:dxf>
              <font>
                <color theme="0"/>
              </font>
              <fill>
                <patternFill>
                  <bgColor theme="6"/>
                </patternFill>
              </fill>
            </x14:dxf>
          </x14:cfRule>
          <x14:cfRule type="beginsWith" priority="146" operator="beginsWith" id="{B974CF85-F40F-481E-A02C-74EBDB8BD387}">
            <xm:f>LEFT(B107,LEN('DATA VALIDATION LIST'!$A$27))='DATA VALIDATION LIST'!$A$27</xm:f>
            <xm:f>'DATA VALIDATION LIST'!$A$27</xm:f>
            <x14:dxf>
              <fill>
                <patternFill>
                  <bgColor rgb="FFEE954C"/>
                </patternFill>
              </fill>
            </x14:dxf>
          </x14:cfRule>
          <x14:cfRule type="beginsWith" priority="147" operator="beginsWith" id="{5FDE48DF-3E0D-4DEE-9290-DAC6C272FA67}">
            <xm:f>LEFT(B107,LEN('DATA VALIDATION LIST'!$A$26))='DATA VALIDATION LIST'!$A$26</xm:f>
            <xm:f>'DATA VALIDATION LIST'!$A$26</xm:f>
            <x14:dxf>
              <fill>
                <patternFill>
                  <bgColor rgb="FF33CCCC"/>
                </patternFill>
              </fill>
            </x14:dxf>
          </x14:cfRule>
          <x14:cfRule type="beginsWith" priority="148" operator="beginsWith" id="{251F9013-E2A0-4F21-ACAE-03060776AF14}">
            <xm:f>LEFT(B107,LEN('DATA VALIDATION LIST'!$A$22))='DATA VALIDATION LIST'!$A$22</xm:f>
            <xm:f>'DATA VALIDATION LIST'!$A$22</xm:f>
            <x14:dxf>
              <fill>
                <patternFill>
                  <bgColor rgb="FF92D050"/>
                </patternFill>
              </fill>
            </x14:dxf>
          </x14:cfRule>
          <x14:cfRule type="beginsWith" priority="149" operator="beginsWith" id="{3EA4BE0C-7836-4190-9F8C-115BECCE9389}">
            <xm:f>LEFT(B107,LEN('DATA VALIDATION LIST'!$A$21))='DATA VALIDATION LIST'!$A$21</xm:f>
            <xm:f>'DATA VALIDATION LIST'!$A$21</xm:f>
            <x14:dxf>
              <fill>
                <patternFill>
                  <bgColor theme="8" tint="0.79998168889431442"/>
                </patternFill>
              </fill>
            </x14:dxf>
          </x14:cfRule>
          <x14:cfRule type="beginsWith" priority="150" operator="beginsWith" id="{45851A5C-44D6-41DA-94E3-052BD5757E3F}">
            <xm:f>LEFT(B107,LEN('DATA VALIDATION LIST'!$A$20))='DATA VALIDATION LIST'!$A$20</xm:f>
            <xm:f>'DATA VALIDATION LIST'!$A$20</xm:f>
            <x14:dxf>
              <fill>
                <patternFill>
                  <bgColor rgb="FFFFCE33"/>
                </patternFill>
              </fill>
            </x14:dxf>
          </x14:cfRule>
          <xm:sqref>B107</xm:sqref>
        </x14:conditionalFormatting>
        <x14:conditionalFormatting xmlns:xm="http://schemas.microsoft.com/office/excel/2006/main">
          <x14:cfRule type="beginsWith" priority="131" operator="beginsWith" id="{F365AF54-5425-4585-A101-585CA1C38C8D}">
            <xm:f>LEFT(B108,LEN('DATA VALIDATION LIST'!$A$32))='DATA VALIDATION LIST'!$A$32</xm:f>
            <xm:f>'DATA VALIDATION LIST'!$A$32</xm:f>
            <x14:dxf>
              <fill>
                <patternFill>
                  <bgColor rgb="FFFF66CC"/>
                </patternFill>
              </fill>
            </x14:dxf>
          </x14:cfRule>
          <x14:cfRule type="beginsWith" priority="132" operator="beginsWith" id="{16ED4971-A71F-42F4-8DEF-EE702B4F0702}">
            <xm:f>LEFT(B108,LEN('DATA VALIDATION LIST'!$A$31))='DATA VALIDATION LIST'!$A$31</xm:f>
            <xm:f>'DATA VALIDATION LIST'!$A$31</xm:f>
            <x14:dxf>
              <fill>
                <patternFill>
                  <bgColor theme="9" tint="0.79998168889431442"/>
                </patternFill>
              </fill>
            </x14:dxf>
          </x14:cfRule>
          <x14:cfRule type="beginsWith" priority="133" operator="beginsWith" id="{AD7BA85F-C8FC-434E-B3BF-1C0E7694CF9E}">
            <xm:f>LEFT(B108,LEN('DATA VALIDATION LIST'!$A$30))='DATA VALIDATION LIST'!$A$30</xm:f>
            <xm:f>'DATA VALIDATION LIST'!$A$30</xm:f>
            <x14:dxf>
              <fill>
                <patternFill>
                  <bgColor theme="5" tint="0.79998168889431442"/>
                </patternFill>
              </fill>
            </x14:dxf>
          </x14:cfRule>
          <x14:cfRule type="beginsWith" priority="134" operator="beginsWith" id="{E7245E02-0413-4BE9-953C-7FE8DA9E8E10}">
            <xm:f>LEFT(B108,LEN('DATA VALIDATION LIST'!$A$29))='DATA VALIDATION LIST'!$A$29</xm:f>
            <xm:f>'DATA VALIDATION LIST'!$A$29</xm:f>
            <x14:dxf>
              <font>
                <color theme="0"/>
              </font>
              <fill>
                <patternFill>
                  <bgColor theme="4"/>
                </patternFill>
              </fill>
            </x14:dxf>
          </x14:cfRule>
          <x14:cfRule type="beginsWith" priority="135" operator="beginsWith" id="{1AECFCDE-7D39-4A67-9E80-6C2A0CF8CFDF}">
            <xm:f>LEFT(B108,LEN('DATA VALIDATION LIST'!$A$28))='DATA VALIDATION LIST'!$A$28</xm:f>
            <xm:f>'DATA VALIDATION LIST'!$A$28</xm:f>
            <x14:dxf>
              <font>
                <color theme="0"/>
              </font>
              <fill>
                <patternFill>
                  <bgColor theme="6"/>
                </patternFill>
              </fill>
            </x14:dxf>
          </x14:cfRule>
          <x14:cfRule type="beginsWith" priority="136" operator="beginsWith" id="{79553CAA-92A0-4756-8F1C-513E5F696245}">
            <xm:f>LEFT(B108,LEN('DATA VALIDATION LIST'!$A$27))='DATA VALIDATION LIST'!$A$27</xm:f>
            <xm:f>'DATA VALIDATION LIST'!$A$27</xm:f>
            <x14:dxf>
              <fill>
                <patternFill>
                  <bgColor rgb="FFEE954C"/>
                </patternFill>
              </fill>
            </x14:dxf>
          </x14:cfRule>
          <x14:cfRule type="beginsWith" priority="137" operator="beginsWith" id="{17A1480E-EB48-44CB-8722-4614750D6C6C}">
            <xm:f>LEFT(B108,LEN('DATA VALIDATION LIST'!$A$26))='DATA VALIDATION LIST'!$A$26</xm:f>
            <xm:f>'DATA VALIDATION LIST'!$A$26</xm:f>
            <x14:dxf>
              <fill>
                <patternFill>
                  <bgColor rgb="FF33CCCC"/>
                </patternFill>
              </fill>
            </x14:dxf>
          </x14:cfRule>
          <x14:cfRule type="beginsWith" priority="138" operator="beginsWith" id="{B1C88225-F969-42EA-8526-5EBFE933FB5E}">
            <xm:f>LEFT(B108,LEN('DATA VALIDATION LIST'!$A$22))='DATA VALIDATION LIST'!$A$22</xm:f>
            <xm:f>'DATA VALIDATION LIST'!$A$22</xm:f>
            <x14:dxf>
              <fill>
                <patternFill>
                  <bgColor rgb="FF92D050"/>
                </patternFill>
              </fill>
            </x14:dxf>
          </x14:cfRule>
          <x14:cfRule type="beginsWith" priority="139" operator="beginsWith" id="{CE763794-6510-4329-ACB4-F300095B6523}">
            <xm:f>LEFT(B108,LEN('DATA VALIDATION LIST'!$A$21))='DATA VALIDATION LIST'!$A$21</xm:f>
            <xm:f>'DATA VALIDATION LIST'!$A$21</xm:f>
            <x14:dxf>
              <fill>
                <patternFill>
                  <bgColor theme="8" tint="0.79998168889431442"/>
                </patternFill>
              </fill>
            </x14:dxf>
          </x14:cfRule>
          <x14:cfRule type="beginsWith" priority="140" operator="beginsWith" id="{BB2DBAEB-09CB-41B3-AE40-F6F860D4E9ED}">
            <xm:f>LEFT(B108,LEN('DATA VALIDATION LIST'!$A$20))='DATA VALIDATION LIST'!$A$20</xm:f>
            <xm:f>'DATA VALIDATION LIST'!$A$20</xm:f>
            <x14:dxf>
              <fill>
                <patternFill>
                  <bgColor rgb="FFFFCE33"/>
                </patternFill>
              </fill>
            </x14:dxf>
          </x14:cfRule>
          <xm:sqref>B108</xm:sqref>
        </x14:conditionalFormatting>
        <x14:conditionalFormatting xmlns:xm="http://schemas.microsoft.com/office/excel/2006/main">
          <x14:cfRule type="beginsWith" priority="121" operator="beginsWith" id="{450603EB-6D43-4687-B299-034E63E6FEAA}">
            <xm:f>LEFT(B109,LEN('DATA VALIDATION LIST'!$A$32))='DATA VALIDATION LIST'!$A$32</xm:f>
            <xm:f>'DATA VALIDATION LIST'!$A$32</xm:f>
            <x14:dxf>
              <fill>
                <patternFill>
                  <bgColor rgb="FFFF66CC"/>
                </patternFill>
              </fill>
            </x14:dxf>
          </x14:cfRule>
          <x14:cfRule type="beginsWith" priority="122" operator="beginsWith" id="{9B00595B-D6D8-44E2-9F54-351727C90AFF}">
            <xm:f>LEFT(B109,LEN('DATA VALIDATION LIST'!$A$31))='DATA VALIDATION LIST'!$A$31</xm:f>
            <xm:f>'DATA VALIDATION LIST'!$A$31</xm:f>
            <x14:dxf>
              <fill>
                <patternFill>
                  <bgColor theme="9" tint="0.79998168889431442"/>
                </patternFill>
              </fill>
            </x14:dxf>
          </x14:cfRule>
          <x14:cfRule type="beginsWith" priority="123" operator="beginsWith" id="{B404072B-1319-47B6-AF25-54A678857F6D}">
            <xm:f>LEFT(B109,LEN('DATA VALIDATION LIST'!$A$30))='DATA VALIDATION LIST'!$A$30</xm:f>
            <xm:f>'DATA VALIDATION LIST'!$A$30</xm:f>
            <x14:dxf>
              <fill>
                <patternFill>
                  <bgColor theme="5" tint="0.79998168889431442"/>
                </patternFill>
              </fill>
            </x14:dxf>
          </x14:cfRule>
          <x14:cfRule type="beginsWith" priority="124" operator="beginsWith" id="{FD067468-C8FB-4791-A264-56F0155892BE}">
            <xm:f>LEFT(B109,LEN('DATA VALIDATION LIST'!$A$29))='DATA VALIDATION LIST'!$A$29</xm:f>
            <xm:f>'DATA VALIDATION LIST'!$A$29</xm:f>
            <x14:dxf>
              <font>
                <color theme="0"/>
              </font>
              <fill>
                <patternFill>
                  <bgColor theme="4"/>
                </patternFill>
              </fill>
            </x14:dxf>
          </x14:cfRule>
          <x14:cfRule type="beginsWith" priority="125" operator="beginsWith" id="{673ABE58-A4EB-4F1B-B3AC-9523CF1DFDB2}">
            <xm:f>LEFT(B109,LEN('DATA VALIDATION LIST'!$A$28))='DATA VALIDATION LIST'!$A$28</xm:f>
            <xm:f>'DATA VALIDATION LIST'!$A$28</xm:f>
            <x14:dxf>
              <font>
                <color theme="0"/>
              </font>
              <fill>
                <patternFill>
                  <bgColor theme="6"/>
                </patternFill>
              </fill>
            </x14:dxf>
          </x14:cfRule>
          <x14:cfRule type="beginsWith" priority="126" operator="beginsWith" id="{0BFCFCC3-A47E-4914-A7E6-830DAC80CF9C}">
            <xm:f>LEFT(B109,LEN('DATA VALIDATION LIST'!$A$27))='DATA VALIDATION LIST'!$A$27</xm:f>
            <xm:f>'DATA VALIDATION LIST'!$A$27</xm:f>
            <x14:dxf>
              <fill>
                <patternFill>
                  <bgColor rgb="FFEE954C"/>
                </patternFill>
              </fill>
            </x14:dxf>
          </x14:cfRule>
          <x14:cfRule type="beginsWith" priority="127" operator="beginsWith" id="{86286378-D5C4-4D11-9BF6-357737687989}">
            <xm:f>LEFT(B109,LEN('DATA VALIDATION LIST'!$A$26))='DATA VALIDATION LIST'!$A$26</xm:f>
            <xm:f>'DATA VALIDATION LIST'!$A$26</xm:f>
            <x14:dxf>
              <fill>
                <patternFill>
                  <bgColor rgb="FF33CCCC"/>
                </patternFill>
              </fill>
            </x14:dxf>
          </x14:cfRule>
          <x14:cfRule type="beginsWith" priority="128" operator="beginsWith" id="{A18424C0-BB6B-4EA3-9D83-31A9CA989E80}">
            <xm:f>LEFT(B109,LEN('DATA VALIDATION LIST'!$A$22))='DATA VALIDATION LIST'!$A$22</xm:f>
            <xm:f>'DATA VALIDATION LIST'!$A$22</xm:f>
            <x14:dxf>
              <fill>
                <patternFill>
                  <bgColor rgb="FF92D050"/>
                </patternFill>
              </fill>
            </x14:dxf>
          </x14:cfRule>
          <x14:cfRule type="beginsWith" priority="129" operator="beginsWith" id="{50AC1060-2334-44F2-8B4E-7D9BCEE04DCB}">
            <xm:f>LEFT(B109,LEN('DATA VALIDATION LIST'!$A$21))='DATA VALIDATION LIST'!$A$21</xm:f>
            <xm:f>'DATA VALIDATION LIST'!$A$21</xm:f>
            <x14:dxf>
              <fill>
                <patternFill>
                  <bgColor theme="8" tint="0.79998168889431442"/>
                </patternFill>
              </fill>
            </x14:dxf>
          </x14:cfRule>
          <x14:cfRule type="beginsWith" priority="130" operator="beginsWith" id="{3DF05E7C-D316-4FF8-88B3-16EF80FF1827}">
            <xm:f>LEFT(B109,LEN('DATA VALIDATION LIST'!$A$20))='DATA VALIDATION LIST'!$A$20</xm:f>
            <xm:f>'DATA VALIDATION LIST'!$A$20</xm:f>
            <x14:dxf>
              <fill>
                <patternFill>
                  <bgColor rgb="FFFFCE33"/>
                </patternFill>
              </fill>
            </x14:dxf>
          </x14:cfRule>
          <xm:sqref>B109</xm:sqref>
        </x14:conditionalFormatting>
        <x14:conditionalFormatting xmlns:xm="http://schemas.microsoft.com/office/excel/2006/main">
          <x14:cfRule type="beginsWith" priority="111" operator="beginsWith" id="{5B7CCB66-325E-4DE7-AA6A-B78AB2072F11}">
            <xm:f>LEFT(B111,LEN('DATA VALIDATION LIST'!$A$32))='DATA VALIDATION LIST'!$A$32</xm:f>
            <xm:f>'DATA VALIDATION LIST'!$A$32</xm:f>
            <x14:dxf>
              <fill>
                <patternFill>
                  <bgColor rgb="FFFF66CC"/>
                </patternFill>
              </fill>
            </x14:dxf>
          </x14:cfRule>
          <x14:cfRule type="beginsWith" priority="112" operator="beginsWith" id="{44DF03CA-52F5-4E75-B656-436885ABEFB9}">
            <xm:f>LEFT(B111,LEN('DATA VALIDATION LIST'!$A$31))='DATA VALIDATION LIST'!$A$31</xm:f>
            <xm:f>'DATA VALIDATION LIST'!$A$31</xm:f>
            <x14:dxf>
              <fill>
                <patternFill>
                  <bgColor theme="9" tint="0.79998168889431442"/>
                </patternFill>
              </fill>
            </x14:dxf>
          </x14:cfRule>
          <x14:cfRule type="beginsWith" priority="113" operator="beginsWith" id="{0732BC94-FB02-45D7-A0DF-FAFF75EA3B3E}">
            <xm:f>LEFT(B111,LEN('DATA VALIDATION LIST'!$A$30))='DATA VALIDATION LIST'!$A$30</xm:f>
            <xm:f>'DATA VALIDATION LIST'!$A$30</xm:f>
            <x14:dxf>
              <fill>
                <patternFill>
                  <bgColor theme="5" tint="0.79998168889431442"/>
                </patternFill>
              </fill>
            </x14:dxf>
          </x14:cfRule>
          <x14:cfRule type="beginsWith" priority="114" operator="beginsWith" id="{88526116-FCA2-4145-AD34-D54CAE025A8E}">
            <xm:f>LEFT(B111,LEN('DATA VALIDATION LIST'!$A$29))='DATA VALIDATION LIST'!$A$29</xm:f>
            <xm:f>'DATA VALIDATION LIST'!$A$29</xm:f>
            <x14:dxf>
              <font>
                <color theme="0"/>
              </font>
              <fill>
                <patternFill>
                  <bgColor theme="4"/>
                </patternFill>
              </fill>
            </x14:dxf>
          </x14:cfRule>
          <x14:cfRule type="beginsWith" priority="115" operator="beginsWith" id="{230BBF82-E798-4144-94B5-92B76EAC40A6}">
            <xm:f>LEFT(B111,LEN('DATA VALIDATION LIST'!$A$28))='DATA VALIDATION LIST'!$A$28</xm:f>
            <xm:f>'DATA VALIDATION LIST'!$A$28</xm:f>
            <x14:dxf>
              <font>
                <color theme="0"/>
              </font>
              <fill>
                <patternFill>
                  <bgColor theme="6"/>
                </patternFill>
              </fill>
            </x14:dxf>
          </x14:cfRule>
          <x14:cfRule type="beginsWith" priority="116" operator="beginsWith" id="{1C0D9635-1559-4857-A6A3-B142AD25DFDE}">
            <xm:f>LEFT(B111,LEN('DATA VALIDATION LIST'!$A$27))='DATA VALIDATION LIST'!$A$27</xm:f>
            <xm:f>'DATA VALIDATION LIST'!$A$27</xm:f>
            <x14:dxf>
              <fill>
                <patternFill>
                  <bgColor rgb="FFEE954C"/>
                </patternFill>
              </fill>
            </x14:dxf>
          </x14:cfRule>
          <x14:cfRule type="beginsWith" priority="117" operator="beginsWith" id="{E057E9FD-3E3E-432D-BD59-D23842473E08}">
            <xm:f>LEFT(B111,LEN('DATA VALIDATION LIST'!$A$26))='DATA VALIDATION LIST'!$A$26</xm:f>
            <xm:f>'DATA VALIDATION LIST'!$A$26</xm:f>
            <x14:dxf>
              <fill>
                <patternFill>
                  <bgColor rgb="FF33CCCC"/>
                </patternFill>
              </fill>
            </x14:dxf>
          </x14:cfRule>
          <x14:cfRule type="beginsWith" priority="118" operator="beginsWith" id="{AE781927-7B71-448C-8F7D-33DB0CD77AC5}">
            <xm:f>LEFT(B111,LEN('DATA VALIDATION LIST'!$A$22))='DATA VALIDATION LIST'!$A$22</xm:f>
            <xm:f>'DATA VALIDATION LIST'!$A$22</xm:f>
            <x14:dxf>
              <fill>
                <patternFill>
                  <bgColor rgb="FF92D050"/>
                </patternFill>
              </fill>
            </x14:dxf>
          </x14:cfRule>
          <x14:cfRule type="beginsWith" priority="119" operator="beginsWith" id="{16507C9B-8622-4CA3-96DC-44EAC238E835}">
            <xm:f>LEFT(B111,LEN('DATA VALIDATION LIST'!$A$21))='DATA VALIDATION LIST'!$A$21</xm:f>
            <xm:f>'DATA VALIDATION LIST'!$A$21</xm:f>
            <x14:dxf>
              <fill>
                <patternFill>
                  <bgColor theme="8" tint="0.79998168889431442"/>
                </patternFill>
              </fill>
            </x14:dxf>
          </x14:cfRule>
          <x14:cfRule type="beginsWith" priority="120" operator="beginsWith" id="{700BFCBA-DD3C-47C8-BD94-4C028C879FB7}">
            <xm:f>LEFT(B111,LEN('DATA VALIDATION LIST'!$A$20))='DATA VALIDATION LIST'!$A$20</xm:f>
            <xm:f>'DATA VALIDATION LIST'!$A$20</xm:f>
            <x14:dxf>
              <fill>
                <patternFill>
                  <bgColor rgb="FFFFCE33"/>
                </patternFill>
              </fill>
            </x14:dxf>
          </x14:cfRule>
          <xm:sqref>B111</xm:sqref>
        </x14:conditionalFormatting>
        <x14:conditionalFormatting xmlns:xm="http://schemas.microsoft.com/office/excel/2006/main">
          <x14:cfRule type="beginsWith" priority="101" operator="beginsWith" id="{E87655DC-E1A7-4871-B7EA-363CE7977142}">
            <xm:f>LEFT(B112,LEN('DATA VALIDATION LIST'!$A$32))='DATA VALIDATION LIST'!$A$32</xm:f>
            <xm:f>'DATA VALIDATION LIST'!$A$32</xm:f>
            <x14:dxf>
              <fill>
                <patternFill>
                  <bgColor rgb="FFFF66CC"/>
                </patternFill>
              </fill>
            </x14:dxf>
          </x14:cfRule>
          <x14:cfRule type="beginsWith" priority="102" operator="beginsWith" id="{78CED8EB-5563-46A9-AF4F-03AB5A7C24B7}">
            <xm:f>LEFT(B112,LEN('DATA VALIDATION LIST'!$A$31))='DATA VALIDATION LIST'!$A$31</xm:f>
            <xm:f>'DATA VALIDATION LIST'!$A$31</xm:f>
            <x14:dxf>
              <fill>
                <patternFill>
                  <bgColor theme="9" tint="0.79998168889431442"/>
                </patternFill>
              </fill>
            </x14:dxf>
          </x14:cfRule>
          <x14:cfRule type="beginsWith" priority="103" operator="beginsWith" id="{96CE0395-3A90-469C-9505-5BE6158136B9}">
            <xm:f>LEFT(B112,LEN('DATA VALIDATION LIST'!$A$30))='DATA VALIDATION LIST'!$A$30</xm:f>
            <xm:f>'DATA VALIDATION LIST'!$A$30</xm:f>
            <x14:dxf>
              <fill>
                <patternFill>
                  <bgColor theme="5" tint="0.79998168889431442"/>
                </patternFill>
              </fill>
            </x14:dxf>
          </x14:cfRule>
          <x14:cfRule type="beginsWith" priority="104" operator="beginsWith" id="{F88F4F33-8FD4-49BD-8170-E56417DD0CA7}">
            <xm:f>LEFT(B112,LEN('DATA VALIDATION LIST'!$A$29))='DATA VALIDATION LIST'!$A$29</xm:f>
            <xm:f>'DATA VALIDATION LIST'!$A$29</xm:f>
            <x14:dxf>
              <font>
                <color theme="0"/>
              </font>
              <fill>
                <patternFill>
                  <bgColor theme="4"/>
                </patternFill>
              </fill>
            </x14:dxf>
          </x14:cfRule>
          <x14:cfRule type="beginsWith" priority="105" operator="beginsWith" id="{43190E3F-F479-4F8C-8D8C-EC99280B83FF}">
            <xm:f>LEFT(B112,LEN('DATA VALIDATION LIST'!$A$28))='DATA VALIDATION LIST'!$A$28</xm:f>
            <xm:f>'DATA VALIDATION LIST'!$A$28</xm:f>
            <x14:dxf>
              <font>
                <color theme="0"/>
              </font>
              <fill>
                <patternFill>
                  <bgColor theme="6"/>
                </patternFill>
              </fill>
            </x14:dxf>
          </x14:cfRule>
          <x14:cfRule type="beginsWith" priority="106" operator="beginsWith" id="{89817993-E5AB-404A-B508-238A101A2757}">
            <xm:f>LEFT(B112,LEN('DATA VALIDATION LIST'!$A$27))='DATA VALIDATION LIST'!$A$27</xm:f>
            <xm:f>'DATA VALIDATION LIST'!$A$27</xm:f>
            <x14:dxf>
              <fill>
                <patternFill>
                  <bgColor rgb="FFEE954C"/>
                </patternFill>
              </fill>
            </x14:dxf>
          </x14:cfRule>
          <x14:cfRule type="beginsWith" priority="107" operator="beginsWith" id="{3000C32C-D349-4782-B667-4DEC14343EBB}">
            <xm:f>LEFT(B112,LEN('DATA VALIDATION LIST'!$A$26))='DATA VALIDATION LIST'!$A$26</xm:f>
            <xm:f>'DATA VALIDATION LIST'!$A$26</xm:f>
            <x14:dxf>
              <fill>
                <patternFill>
                  <bgColor rgb="FF33CCCC"/>
                </patternFill>
              </fill>
            </x14:dxf>
          </x14:cfRule>
          <x14:cfRule type="beginsWith" priority="108" operator="beginsWith" id="{89945EBC-F9AA-41E0-A596-EBCF30BB40FA}">
            <xm:f>LEFT(B112,LEN('DATA VALIDATION LIST'!$A$22))='DATA VALIDATION LIST'!$A$22</xm:f>
            <xm:f>'DATA VALIDATION LIST'!$A$22</xm:f>
            <x14:dxf>
              <fill>
                <patternFill>
                  <bgColor rgb="FF92D050"/>
                </patternFill>
              </fill>
            </x14:dxf>
          </x14:cfRule>
          <x14:cfRule type="beginsWith" priority="109" operator="beginsWith" id="{7F99676C-BE5D-45C8-AFC3-6A753753E4F5}">
            <xm:f>LEFT(B112,LEN('DATA VALIDATION LIST'!$A$21))='DATA VALIDATION LIST'!$A$21</xm:f>
            <xm:f>'DATA VALIDATION LIST'!$A$21</xm:f>
            <x14:dxf>
              <fill>
                <patternFill>
                  <bgColor theme="8" tint="0.79998168889431442"/>
                </patternFill>
              </fill>
            </x14:dxf>
          </x14:cfRule>
          <x14:cfRule type="beginsWith" priority="110" operator="beginsWith" id="{9F525B7C-3B9C-483B-A9ED-7D28E5E66B47}">
            <xm:f>LEFT(B112,LEN('DATA VALIDATION LIST'!$A$20))='DATA VALIDATION LIST'!$A$20</xm:f>
            <xm:f>'DATA VALIDATION LIST'!$A$20</xm:f>
            <x14:dxf>
              <fill>
                <patternFill>
                  <bgColor rgb="FFFFCE33"/>
                </patternFill>
              </fill>
            </x14:dxf>
          </x14:cfRule>
          <xm:sqref>B112:B113</xm:sqref>
        </x14:conditionalFormatting>
        <x14:conditionalFormatting xmlns:xm="http://schemas.microsoft.com/office/excel/2006/main">
          <x14:cfRule type="beginsWith" priority="91" operator="beginsWith" id="{2706FAF5-2904-4F35-B7FD-4097D274925E}">
            <xm:f>LEFT(B115,LEN('DATA VALIDATION LIST'!$A$32))='DATA VALIDATION LIST'!$A$32</xm:f>
            <xm:f>'DATA VALIDATION LIST'!$A$32</xm:f>
            <x14:dxf>
              <fill>
                <patternFill>
                  <bgColor rgb="FFFF66CC"/>
                </patternFill>
              </fill>
            </x14:dxf>
          </x14:cfRule>
          <x14:cfRule type="beginsWith" priority="92" operator="beginsWith" id="{3E933385-8935-4974-AADC-6835F8CCB86C}">
            <xm:f>LEFT(B115,LEN('DATA VALIDATION LIST'!$A$31))='DATA VALIDATION LIST'!$A$31</xm:f>
            <xm:f>'DATA VALIDATION LIST'!$A$31</xm:f>
            <x14:dxf>
              <fill>
                <patternFill>
                  <bgColor theme="9" tint="0.79998168889431442"/>
                </patternFill>
              </fill>
            </x14:dxf>
          </x14:cfRule>
          <x14:cfRule type="beginsWith" priority="93" operator="beginsWith" id="{BD67983E-D4F4-4076-8FF7-3D5EC80D35D8}">
            <xm:f>LEFT(B115,LEN('DATA VALIDATION LIST'!$A$30))='DATA VALIDATION LIST'!$A$30</xm:f>
            <xm:f>'DATA VALIDATION LIST'!$A$30</xm:f>
            <x14:dxf>
              <fill>
                <patternFill>
                  <bgColor theme="5" tint="0.79998168889431442"/>
                </patternFill>
              </fill>
            </x14:dxf>
          </x14:cfRule>
          <x14:cfRule type="beginsWith" priority="94" operator="beginsWith" id="{8CA51400-E426-42E9-B6A1-7E3DF3D5552E}">
            <xm:f>LEFT(B115,LEN('DATA VALIDATION LIST'!$A$29))='DATA VALIDATION LIST'!$A$29</xm:f>
            <xm:f>'DATA VALIDATION LIST'!$A$29</xm:f>
            <x14:dxf>
              <font>
                <color theme="0"/>
              </font>
              <fill>
                <patternFill>
                  <bgColor theme="4"/>
                </patternFill>
              </fill>
            </x14:dxf>
          </x14:cfRule>
          <x14:cfRule type="beginsWith" priority="95" operator="beginsWith" id="{AB907C97-758E-42B9-BD27-BB8DD27D79C2}">
            <xm:f>LEFT(B115,LEN('DATA VALIDATION LIST'!$A$28))='DATA VALIDATION LIST'!$A$28</xm:f>
            <xm:f>'DATA VALIDATION LIST'!$A$28</xm:f>
            <x14:dxf>
              <font>
                <color theme="0"/>
              </font>
              <fill>
                <patternFill>
                  <bgColor theme="6"/>
                </patternFill>
              </fill>
            </x14:dxf>
          </x14:cfRule>
          <x14:cfRule type="beginsWith" priority="96" operator="beginsWith" id="{D5671833-A79A-4FB2-8AA8-A47920E7B21D}">
            <xm:f>LEFT(B115,LEN('DATA VALIDATION LIST'!$A$27))='DATA VALIDATION LIST'!$A$27</xm:f>
            <xm:f>'DATA VALIDATION LIST'!$A$27</xm:f>
            <x14:dxf>
              <fill>
                <patternFill>
                  <bgColor rgb="FFEE954C"/>
                </patternFill>
              </fill>
            </x14:dxf>
          </x14:cfRule>
          <x14:cfRule type="beginsWith" priority="97" operator="beginsWith" id="{4E55564D-0E05-45B8-A7E8-A8B0DEE5DB69}">
            <xm:f>LEFT(B115,LEN('DATA VALIDATION LIST'!$A$26))='DATA VALIDATION LIST'!$A$26</xm:f>
            <xm:f>'DATA VALIDATION LIST'!$A$26</xm:f>
            <x14:dxf>
              <fill>
                <patternFill>
                  <bgColor rgb="FF33CCCC"/>
                </patternFill>
              </fill>
            </x14:dxf>
          </x14:cfRule>
          <x14:cfRule type="beginsWith" priority="98" operator="beginsWith" id="{7521A85C-EA8B-4756-BC79-BD3EF4DD38E7}">
            <xm:f>LEFT(B115,LEN('DATA VALIDATION LIST'!$A$22))='DATA VALIDATION LIST'!$A$22</xm:f>
            <xm:f>'DATA VALIDATION LIST'!$A$22</xm:f>
            <x14:dxf>
              <fill>
                <patternFill>
                  <bgColor rgb="FF92D050"/>
                </patternFill>
              </fill>
            </x14:dxf>
          </x14:cfRule>
          <x14:cfRule type="beginsWith" priority="99" operator="beginsWith" id="{E2B46D57-9C2A-45C4-A255-7AE6CDEFD15D}">
            <xm:f>LEFT(B115,LEN('DATA VALIDATION LIST'!$A$21))='DATA VALIDATION LIST'!$A$21</xm:f>
            <xm:f>'DATA VALIDATION LIST'!$A$21</xm:f>
            <x14:dxf>
              <fill>
                <patternFill>
                  <bgColor theme="8" tint="0.79998168889431442"/>
                </patternFill>
              </fill>
            </x14:dxf>
          </x14:cfRule>
          <x14:cfRule type="beginsWith" priority="100" operator="beginsWith" id="{63C6F6C5-2293-414A-B269-922020E29B81}">
            <xm:f>LEFT(B115,LEN('DATA VALIDATION LIST'!$A$20))='DATA VALIDATION LIST'!$A$20</xm:f>
            <xm:f>'DATA VALIDATION LIST'!$A$20</xm:f>
            <x14:dxf>
              <fill>
                <patternFill>
                  <bgColor rgb="FFFFCE33"/>
                </patternFill>
              </fill>
            </x14:dxf>
          </x14:cfRule>
          <xm:sqref>B115</xm:sqref>
        </x14:conditionalFormatting>
        <x14:conditionalFormatting xmlns:xm="http://schemas.microsoft.com/office/excel/2006/main">
          <x14:cfRule type="beginsWith" priority="81" operator="beginsWith" id="{9F586600-A2EC-4437-B371-6D2689DDB4EA}">
            <xm:f>LEFT(B116,LEN('DATA VALIDATION LIST'!$A$32))='DATA VALIDATION LIST'!$A$32</xm:f>
            <xm:f>'DATA VALIDATION LIST'!$A$32</xm:f>
            <x14:dxf>
              <fill>
                <patternFill>
                  <bgColor rgb="FFFF66CC"/>
                </patternFill>
              </fill>
            </x14:dxf>
          </x14:cfRule>
          <x14:cfRule type="beginsWith" priority="82" operator="beginsWith" id="{F75E8525-750B-4990-BBCD-4C8C6774DFDC}">
            <xm:f>LEFT(B116,LEN('DATA VALIDATION LIST'!$A$31))='DATA VALIDATION LIST'!$A$31</xm:f>
            <xm:f>'DATA VALIDATION LIST'!$A$31</xm:f>
            <x14:dxf>
              <fill>
                <patternFill>
                  <bgColor theme="9" tint="0.79998168889431442"/>
                </patternFill>
              </fill>
            </x14:dxf>
          </x14:cfRule>
          <x14:cfRule type="beginsWith" priority="83" operator="beginsWith" id="{A79A5D7F-F6F5-44D9-86FE-E395367921E2}">
            <xm:f>LEFT(B116,LEN('DATA VALIDATION LIST'!$A$30))='DATA VALIDATION LIST'!$A$30</xm:f>
            <xm:f>'DATA VALIDATION LIST'!$A$30</xm:f>
            <x14:dxf>
              <fill>
                <patternFill>
                  <bgColor theme="5" tint="0.79998168889431442"/>
                </patternFill>
              </fill>
            </x14:dxf>
          </x14:cfRule>
          <x14:cfRule type="beginsWith" priority="84" operator="beginsWith" id="{6DD87CF6-55CD-45C1-BE4F-0309DCC01548}">
            <xm:f>LEFT(B116,LEN('DATA VALIDATION LIST'!$A$29))='DATA VALIDATION LIST'!$A$29</xm:f>
            <xm:f>'DATA VALIDATION LIST'!$A$29</xm:f>
            <x14:dxf>
              <font>
                <color theme="0"/>
              </font>
              <fill>
                <patternFill>
                  <bgColor theme="4"/>
                </patternFill>
              </fill>
            </x14:dxf>
          </x14:cfRule>
          <x14:cfRule type="beginsWith" priority="85" operator="beginsWith" id="{B3AE6895-A4A5-463E-8DDE-F647160E6799}">
            <xm:f>LEFT(B116,LEN('DATA VALIDATION LIST'!$A$28))='DATA VALIDATION LIST'!$A$28</xm:f>
            <xm:f>'DATA VALIDATION LIST'!$A$28</xm:f>
            <x14:dxf>
              <font>
                <color theme="0"/>
              </font>
              <fill>
                <patternFill>
                  <bgColor theme="6"/>
                </patternFill>
              </fill>
            </x14:dxf>
          </x14:cfRule>
          <x14:cfRule type="beginsWith" priority="86" operator="beginsWith" id="{124CC714-057C-40EF-A00F-2A8F1D9D3C63}">
            <xm:f>LEFT(B116,LEN('DATA VALIDATION LIST'!$A$27))='DATA VALIDATION LIST'!$A$27</xm:f>
            <xm:f>'DATA VALIDATION LIST'!$A$27</xm:f>
            <x14:dxf>
              <fill>
                <patternFill>
                  <bgColor rgb="FFEE954C"/>
                </patternFill>
              </fill>
            </x14:dxf>
          </x14:cfRule>
          <x14:cfRule type="beginsWith" priority="87" operator="beginsWith" id="{856565FC-8ED1-470A-9505-59A4EBCB51B3}">
            <xm:f>LEFT(B116,LEN('DATA VALIDATION LIST'!$A$26))='DATA VALIDATION LIST'!$A$26</xm:f>
            <xm:f>'DATA VALIDATION LIST'!$A$26</xm:f>
            <x14:dxf>
              <fill>
                <patternFill>
                  <bgColor rgb="FF33CCCC"/>
                </patternFill>
              </fill>
            </x14:dxf>
          </x14:cfRule>
          <x14:cfRule type="beginsWith" priority="88" operator="beginsWith" id="{47F7A0BD-39EF-4160-9709-05807A44EF59}">
            <xm:f>LEFT(B116,LEN('DATA VALIDATION LIST'!$A$22))='DATA VALIDATION LIST'!$A$22</xm:f>
            <xm:f>'DATA VALIDATION LIST'!$A$22</xm:f>
            <x14:dxf>
              <fill>
                <patternFill>
                  <bgColor rgb="FF92D050"/>
                </patternFill>
              </fill>
            </x14:dxf>
          </x14:cfRule>
          <x14:cfRule type="beginsWith" priority="89" operator="beginsWith" id="{63E67EE2-7423-4DE0-A0C0-9C031882ECC8}">
            <xm:f>LEFT(B116,LEN('DATA VALIDATION LIST'!$A$21))='DATA VALIDATION LIST'!$A$21</xm:f>
            <xm:f>'DATA VALIDATION LIST'!$A$21</xm:f>
            <x14:dxf>
              <fill>
                <patternFill>
                  <bgColor theme="8" tint="0.79998168889431442"/>
                </patternFill>
              </fill>
            </x14:dxf>
          </x14:cfRule>
          <x14:cfRule type="beginsWith" priority="90" operator="beginsWith" id="{92019039-3DAB-44F9-A9CE-C03E19A86928}">
            <xm:f>LEFT(B116,LEN('DATA VALIDATION LIST'!$A$20))='DATA VALIDATION LIST'!$A$20</xm:f>
            <xm:f>'DATA VALIDATION LIST'!$A$20</xm:f>
            <x14:dxf>
              <fill>
                <patternFill>
                  <bgColor rgb="FFFFCE33"/>
                </patternFill>
              </fill>
            </x14:dxf>
          </x14:cfRule>
          <xm:sqref>B116:B117</xm:sqref>
        </x14:conditionalFormatting>
        <x14:conditionalFormatting xmlns:xm="http://schemas.microsoft.com/office/excel/2006/main">
          <x14:cfRule type="beginsWith" priority="71" operator="beginsWith" id="{B2FC478E-EEE8-4EC8-BEBD-BE43886AD0FD}">
            <xm:f>LEFT(B119,LEN('DATA VALIDATION LIST'!$A$32))='DATA VALIDATION LIST'!$A$32</xm:f>
            <xm:f>'DATA VALIDATION LIST'!$A$32</xm:f>
            <x14:dxf>
              <fill>
                <patternFill>
                  <bgColor rgb="FFFF66CC"/>
                </patternFill>
              </fill>
            </x14:dxf>
          </x14:cfRule>
          <x14:cfRule type="beginsWith" priority="72" operator="beginsWith" id="{1509790B-2B88-4B0D-A0B6-E6E205D92A2F}">
            <xm:f>LEFT(B119,LEN('DATA VALIDATION LIST'!$A$31))='DATA VALIDATION LIST'!$A$31</xm:f>
            <xm:f>'DATA VALIDATION LIST'!$A$31</xm:f>
            <x14:dxf>
              <fill>
                <patternFill>
                  <bgColor theme="9" tint="0.79998168889431442"/>
                </patternFill>
              </fill>
            </x14:dxf>
          </x14:cfRule>
          <x14:cfRule type="beginsWith" priority="73" operator="beginsWith" id="{9B2C0AE5-0E3C-4C65-B321-0460EC4DEB4B}">
            <xm:f>LEFT(B119,LEN('DATA VALIDATION LIST'!$A$30))='DATA VALIDATION LIST'!$A$30</xm:f>
            <xm:f>'DATA VALIDATION LIST'!$A$30</xm:f>
            <x14:dxf>
              <fill>
                <patternFill>
                  <bgColor theme="5" tint="0.79998168889431442"/>
                </patternFill>
              </fill>
            </x14:dxf>
          </x14:cfRule>
          <x14:cfRule type="beginsWith" priority="74" operator="beginsWith" id="{18E8F548-A51A-42C2-A470-064B37D763E6}">
            <xm:f>LEFT(B119,LEN('DATA VALIDATION LIST'!$A$29))='DATA VALIDATION LIST'!$A$29</xm:f>
            <xm:f>'DATA VALIDATION LIST'!$A$29</xm:f>
            <x14:dxf>
              <font>
                <color theme="0"/>
              </font>
              <fill>
                <patternFill>
                  <bgColor theme="4"/>
                </patternFill>
              </fill>
            </x14:dxf>
          </x14:cfRule>
          <x14:cfRule type="beginsWith" priority="75" operator="beginsWith" id="{600EEAC5-21E1-4AB9-9411-C1F9E54CCB4C}">
            <xm:f>LEFT(B119,LEN('DATA VALIDATION LIST'!$A$28))='DATA VALIDATION LIST'!$A$28</xm:f>
            <xm:f>'DATA VALIDATION LIST'!$A$28</xm:f>
            <x14:dxf>
              <font>
                <color theme="0"/>
              </font>
              <fill>
                <patternFill>
                  <bgColor theme="6"/>
                </patternFill>
              </fill>
            </x14:dxf>
          </x14:cfRule>
          <x14:cfRule type="beginsWith" priority="76" operator="beginsWith" id="{84584263-4D0E-4CAD-80F4-64EE6027CFAA}">
            <xm:f>LEFT(B119,LEN('DATA VALIDATION LIST'!$A$27))='DATA VALIDATION LIST'!$A$27</xm:f>
            <xm:f>'DATA VALIDATION LIST'!$A$27</xm:f>
            <x14:dxf>
              <fill>
                <patternFill>
                  <bgColor rgb="FFEE954C"/>
                </patternFill>
              </fill>
            </x14:dxf>
          </x14:cfRule>
          <x14:cfRule type="beginsWith" priority="77" operator="beginsWith" id="{8B088536-6B7D-48FC-8399-767C6711F5A7}">
            <xm:f>LEFT(B119,LEN('DATA VALIDATION LIST'!$A$26))='DATA VALIDATION LIST'!$A$26</xm:f>
            <xm:f>'DATA VALIDATION LIST'!$A$26</xm:f>
            <x14:dxf>
              <fill>
                <patternFill>
                  <bgColor rgb="FF33CCCC"/>
                </patternFill>
              </fill>
            </x14:dxf>
          </x14:cfRule>
          <x14:cfRule type="beginsWith" priority="78" operator="beginsWith" id="{BA61A6BC-9249-4384-A607-1D11A69025AA}">
            <xm:f>LEFT(B119,LEN('DATA VALIDATION LIST'!$A$22))='DATA VALIDATION LIST'!$A$22</xm:f>
            <xm:f>'DATA VALIDATION LIST'!$A$22</xm:f>
            <x14:dxf>
              <fill>
                <patternFill>
                  <bgColor rgb="FF92D050"/>
                </patternFill>
              </fill>
            </x14:dxf>
          </x14:cfRule>
          <x14:cfRule type="beginsWith" priority="79" operator="beginsWith" id="{4703F803-1F8C-4EB1-8161-CA428F77EC70}">
            <xm:f>LEFT(B119,LEN('DATA VALIDATION LIST'!$A$21))='DATA VALIDATION LIST'!$A$21</xm:f>
            <xm:f>'DATA VALIDATION LIST'!$A$21</xm:f>
            <x14:dxf>
              <fill>
                <patternFill>
                  <bgColor theme="8" tint="0.79998168889431442"/>
                </patternFill>
              </fill>
            </x14:dxf>
          </x14:cfRule>
          <x14:cfRule type="beginsWith" priority="80" operator="beginsWith" id="{FD315A69-A612-4220-8CAF-D0E79EED0664}">
            <xm:f>LEFT(B119,LEN('DATA VALIDATION LIST'!$A$20))='DATA VALIDATION LIST'!$A$20</xm:f>
            <xm:f>'DATA VALIDATION LIST'!$A$20</xm:f>
            <x14:dxf>
              <fill>
                <patternFill>
                  <bgColor rgb="FFFFCE33"/>
                </patternFill>
              </fill>
            </x14:dxf>
          </x14:cfRule>
          <xm:sqref>B119</xm:sqref>
        </x14:conditionalFormatting>
        <x14:conditionalFormatting xmlns:xm="http://schemas.microsoft.com/office/excel/2006/main">
          <x14:cfRule type="beginsWith" priority="61" operator="beginsWith" id="{953D0DDB-F512-4320-A3F9-C3663A881D90}">
            <xm:f>LEFT(B120,LEN('DATA VALIDATION LIST'!$A$32))='DATA VALIDATION LIST'!$A$32</xm:f>
            <xm:f>'DATA VALIDATION LIST'!$A$32</xm:f>
            <x14:dxf>
              <fill>
                <patternFill>
                  <bgColor rgb="FFFF66CC"/>
                </patternFill>
              </fill>
            </x14:dxf>
          </x14:cfRule>
          <x14:cfRule type="beginsWith" priority="62" operator="beginsWith" id="{A3B1AF02-F01D-4268-9794-C3DD95CA5EFF}">
            <xm:f>LEFT(B120,LEN('DATA VALIDATION LIST'!$A$31))='DATA VALIDATION LIST'!$A$31</xm:f>
            <xm:f>'DATA VALIDATION LIST'!$A$31</xm:f>
            <x14:dxf>
              <fill>
                <patternFill>
                  <bgColor theme="9" tint="0.79998168889431442"/>
                </patternFill>
              </fill>
            </x14:dxf>
          </x14:cfRule>
          <x14:cfRule type="beginsWith" priority="63" operator="beginsWith" id="{FA5E63D1-2786-4A4B-96FF-BF505A772E5E}">
            <xm:f>LEFT(B120,LEN('DATA VALIDATION LIST'!$A$30))='DATA VALIDATION LIST'!$A$30</xm:f>
            <xm:f>'DATA VALIDATION LIST'!$A$30</xm:f>
            <x14:dxf>
              <fill>
                <patternFill>
                  <bgColor theme="5" tint="0.79998168889431442"/>
                </patternFill>
              </fill>
            </x14:dxf>
          </x14:cfRule>
          <x14:cfRule type="beginsWith" priority="64" operator="beginsWith" id="{01A96CBC-6170-4821-89B8-6079F2BA363B}">
            <xm:f>LEFT(B120,LEN('DATA VALIDATION LIST'!$A$29))='DATA VALIDATION LIST'!$A$29</xm:f>
            <xm:f>'DATA VALIDATION LIST'!$A$29</xm:f>
            <x14:dxf>
              <font>
                <color theme="0"/>
              </font>
              <fill>
                <patternFill>
                  <bgColor theme="4"/>
                </patternFill>
              </fill>
            </x14:dxf>
          </x14:cfRule>
          <x14:cfRule type="beginsWith" priority="65" operator="beginsWith" id="{B2111D2F-D7CD-4088-844A-000A3F299210}">
            <xm:f>LEFT(B120,LEN('DATA VALIDATION LIST'!$A$28))='DATA VALIDATION LIST'!$A$28</xm:f>
            <xm:f>'DATA VALIDATION LIST'!$A$28</xm:f>
            <x14:dxf>
              <font>
                <color theme="0"/>
              </font>
              <fill>
                <patternFill>
                  <bgColor theme="6"/>
                </patternFill>
              </fill>
            </x14:dxf>
          </x14:cfRule>
          <x14:cfRule type="beginsWith" priority="66" operator="beginsWith" id="{1B57F656-B977-4914-9318-CF9A5629C86D}">
            <xm:f>LEFT(B120,LEN('DATA VALIDATION LIST'!$A$27))='DATA VALIDATION LIST'!$A$27</xm:f>
            <xm:f>'DATA VALIDATION LIST'!$A$27</xm:f>
            <x14:dxf>
              <fill>
                <patternFill>
                  <bgColor rgb="FFEE954C"/>
                </patternFill>
              </fill>
            </x14:dxf>
          </x14:cfRule>
          <x14:cfRule type="beginsWith" priority="67" operator="beginsWith" id="{6479BAFB-4FAE-4A43-A63F-009F4A0E260D}">
            <xm:f>LEFT(B120,LEN('DATA VALIDATION LIST'!$A$26))='DATA VALIDATION LIST'!$A$26</xm:f>
            <xm:f>'DATA VALIDATION LIST'!$A$26</xm:f>
            <x14:dxf>
              <fill>
                <patternFill>
                  <bgColor rgb="FF33CCCC"/>
                </patternFill>
              </fill>
            </x14:dxf>
          </x14:cfRule>
          <x14:cfRule type="beginsWith" priority="68" operator="beginsWith" id="{5D731180-109A-4AF6-A4A0-824537B93F9A}">
            <xm:f>LEFT(B120,LEN('DATA VALIDATION LIST'!$A$22))='DATA VALIDATION LIST'!$A$22</xm:f>
            <xm:f>'DATA VALIDATION LIST'!$A$22</xm:f>
            <x14:dxf>
              <fill>
                <patternFill>
                  <bgColor rgb="FF92D050"/>
                </patternFill>
              </fill>
            </x14:dxf>
          </x14:cfRule>
          <x14:cfRule type="beginsWith" priority="69" operator="beginsWith" id="{9D425EDE-C831-4CB0-B167-2C4F39C0E7B6}">
            <xm:f>LEFT(B120,LEN('DATA VALIDATION LIST'!$A$21))='DATA VALIDATION LIST'!$A$21</xm:f>
            <xm:f>'DATA VALIDATION LIST'!$A$21</xm:f>
            <x14:dxf>
              <fill>
                <patternFill>
                  <bgColor theme="8" tint="0.79998168889431442"/>
                </patternFill>
              </fill>
            </x14:dxf>
          </x14:cfRule>
          <x14:cfRule type="beginsWith" priority="70" operator="beginsWith" id="{A0637F94-A9E0-46F8-B932-125F4EB0735E}">
            <xm:f>LEFT(B120,LEN('DATA VALIDATION LIST'!$A$20))='DATA VALIDATION LIST'!$A$20</xm:f>
            <xm:f>'DATA VALIDATION LIST'!$A$20</xm:f>
            <x14:dxf>
              <fill>
                <patternFill>
                  <bgColor rgb="FFFFCE33"/>
                </patternFill>
              </fill>
            </x14:dxf>
          </x14:cfRule>
          <xm:sqref>B120</xm:sqref>
        </x14:conditionalFormatting>
        <x14:conditionalFormatting xmlns:xm="http://schemas.microsoft.com/office/excel/2006/main">
          <x14:cfRule type="beginsWith" priority="51" operator="beginsWith" id="{2D80B9DE-6D13-4691-9923-C80CB732FF30}">
            <xm:f>LEFT(B122,LEN('DATA VALIDATION LIST'!$A$32))='DATA VALIDATION LIST'!$A$32</xm:f>
            <xm:f>'DATA VALIDATION LIST'!$A$32</xm:f>
            <x14:dxf>
              <fill>
                <patternFill>
                  <bgColor rgb="FFFF66CC"/>
                </patternFill>
              </fill>
            </x14:dxf>
          </x14:cfRule>
          <x14:cfRule type="beginsWith" priority="52" operator="beginsWith" id="{002B1678-87A4-4BE4-9B6F-0927969E0369}">
            <xm:f>LEFT(B122,LEN('DATA VALIDATION LIST'!$A$31))='DATA VALIDATION LIST'!$A$31</xm:f>
            <xm:f>'DATA VALIDATION LIST'!$A$31</xm:f>
            <x14:dxf>
              <fill>
                <patternFill>
                  <bgColor theme="9" tint="0.79998168889431442"/>
                </patternFill>
              </fill>
            </x14:dxf>
          </x14:cfRule>
          <x14:cfRule type="beginsWith" priority="53" operator="beginsWith" id="{16726EA0-DCB8-4C38-A809-B580AFD2E1C4}">
            <xm:f>LEFT(B122,LEN('DATA VALIDATION LIST'!$A$30))='DATA VALIDATION LIST'!$A$30</xm:f>
            <xm:f>'DATA VALIDATION LIST'!$A$30</xm:f>
            <x14:dxf>
              <fill>
                <patternFill>
                  <bgColor theme="5" tint="0.79998168889431442"/>
                </patternFill>
              </fill>
            </x14:dxf>
          </x14:cfRule>
          <x14:cfRule type="beginsWith" priority="54" operator="beginsWith" id="{5C093486-079F-4B29-BFB9-42C20EB889E8}">
            <xm:f>LEFT(B122,LEN('DATA VALIDATION LIST'!$A$29))='DATA VALIDATION LIST'!$A$29</xm:f>
            <xm:f>'DATA VALIDATION LIST'!$A$29</xm:f>
            <x14:dxf>
              <font>
                <color theme="0"/>
              </font>
              <fill>
                <patternFill>
                  <bgColor theme="4"/>
                </patternFill>
              </fill>
            </x14:dxf>
          </x14:cfRule>
          <x14:cfRule type="beginsWith" priority="55" operator="beginsWith" id="{46022A2B-D262-42E2-97D7-8C8774165148}">
            <xm:f>LEFT(B122,LEN('DATA VALIDATION LIST'!$A$28))='DATA VALIDATION LIST'!$A$28</xm:f>
            <xm:f>'DATA VALIDATION LIST'!$A$28</xm:f>
            <x14:dxf>
              <font>
                <color theme="0"/>
              </font>
              <fill>
                <patternFill>
                  <bgColor theme="6"/>
                </patternFill>
              </fill>
            </x14:dxf>
          </x14:cfRule>
          <x14:cfRule type="beginsWith" priority="56" operator="beginsWith" id="{DE482332-63E1-46ED-AE2F-4C948D9975A4}">
            <xm:f>LEFT(B122,LEN('DATA VALIDATION LIST'!$A$27))='DATA VALIDATION LIST'!$A$27</xm:f>
            <xm:f>'DATA VALIDATION LIST'!$A$27</xm:f>
            <x14:dxf>
              <fill>
                <patternFill>
                  <bgColor rgb="FFEE954C"/>
                </patternFill>
              </fill>
            </x14:dxf>
          </x14:cfRule>
          <x14:cfRule type="beginsWith" priority="57" operator="beginsWith" id="{A683786A-E8D7-4C79-99A6-4CB1363968BC}">
            <xm:f>LEFT(B122,LEN('DATA VALIDATION LIST'!$A$26))='DATA VALIDATION LIST'!$A$26</xm:f>
            <xm:f>'DATA VALIDATION LIST'!$A$26</xm:f>
            <x14:dxf>
              <fill>
                <patternFill>
                  <bgColor rgb="FF33CCCC"/>
                </patternFill>
              </fill>
            </x14:dxf>
          </x14:cfRule>
          <x14:cfRule type="beginsWith" priority="58" operator="beginsWith" id="{E6674E74-25B6-4A6F-9A47-D66D094EE0C2}">
            <xm:f>LEFT(B122,LEN('DATA VALIDATION LIST'!$A$22))='DATA VALIDATION LIST'!$A$22</xm:f>
            <xm:f>'DATA VALIDATION LIST'!$A$22</xm:f>
            <x14:dxf>
              <fill>
                <patternFill>
                  <bgColor rgb="FF92D050"/>
                </patternFill>
              </fill>
            </x14:dxf>
          </x14:cfRule>
          <x14:cfRule type="beginsWith" priority="59" operator="beginsWith" id="{9BFE6DBC-5F93-4005-AF7B-EB4D151C1117}">
            <xm:f>LEFT(B122,LEN('DATA VALIDATION LIST'!$A$21))='DATA VALIDATION LIST'!$A$21</xm:f>
            <xm:f>'DATA VALIDATION LIST'!$A$21</xm:f>
            <x14:dxf>
              <fill>
                <patternFill>
                  <bgColor theme="8" tint="0.79998168889431442"/>
                </patternFill>
              </fill>
            </x14:dxf>
          </x14:cfRule>
          <x14:cfRule type="beginsWith" priority="60" operator="beginsWith" id="{4A4AA5C3-94CA-4AEC-B940-92C4579DC2D6}">
            <xm:f>LEFT(B122,LEN('DATA VALIDATION LIST'!$A$20))='DATA VALIDATION LIST'!$A$20</xm:f>
            <xm:f>'DATA VALIDATION LIST'!$A$20</xm:f>
            <x14:dxf>
              <fill>
                <patternFill>
                  <bgColor rgb="FFFFCE33"/>
                </patternFill>
              </fill>
            </x14:dxf>
          </x14:cfRule>
          <xm:sqref>B122</xm:sqref>
        </x14:conditionalFormatting>
        <x14:conditionalFormatting xmlns:xm="http://schemas.microsoft.com/office/excel/2006/main">
          <x14:cfRule type="beginsWith" priority="41" operator="beginsWith" id="{1D2D32D6-07D2-4AD4-ADD2-66003D81B5A2}">
            <xm:f>LEFT(B123,LEN('DATA VALIDATION LIST'!$A$32))='DATA VALIDATION LIST'!$A$32</xm:f>
            <xm:f>'DATA VALIDATION LIST'!$A$32</xm:f>
            <x14:dxf>
              <fill>
                <patternFill>
                  <bgColor rgb="FFFF66CC"/>
                </patternFill>
              </fill>
            </x14:dxf>
          </x14:cfRule>
          <x14:cfRule type="beginsWith" priority="42" operator="beginsWith" id="{E4FC6561-BFE2-4D12-9B66-ED02F3AC5367}">
            <xm:f>LEFT(B123,LEN('DATA VALIDATION LIST'!$A$31))='DATA VALIDATION LIST'!$A$31</xm:f>
            <xm:f>'DATA VALIDATION LIST'!$A$31</xm:f>
            <x14:dxf>
              <fill>
                <patternFill>
                  <bgColor theme="9" tint="0.79998168889431442"/>
                </patternFill>
              </fill>
            </x14:dxf>
          </x14:cfRule>
          <x14:cfRule type="beginsWith" priority="43" operator="beginsWith" id="{624F472D-553B-40BB-B9F6-DBB4BDE1DA90}">
            <xm:f>LEFT(B123,LEN('DATA VALIDATION LIST'!$A$30))='DATA VALIDATION LIST'!$A$30</xm:f>
            <xm:f>'DATA VALIDATION LIST'!$A$30</xm:f>
            <x14:dxf>
              <fill>
                <patternFill>
                  <bgColor theme="5" tint="0.79998168889431442"/>
                </patternFill>
              </fill>
            </x14:dxf>
          </x14:cfRule>
          <x14:cfRule type="beginsWith" priority="44" operator="beginsWith" id="{668BD357-C333-4ABD-A4FF-B4E7FAAD049F}">
            <xm:f>LEFT(B123,LEN('DATA VALIDATION LIST'!$A$29))='DATA VALIDATION LIST'!$A$29</xm:f>
            <xm:f>'DATA VALIDATION LIST'!$A$29</xm:f>
            <x14:dxf>
              <font>
                <color theme="0"/>
              </font>
              <fill>
                <patternFill>
                  <bgColor theme="4"/>
                </patternFill>
              </fill>
            </x14:dxf>
          </x14:cfRule>
          <x14:cfRule type="beginsWith" priority="45" operator="beginsWith" id="{895240AB-B80F-4399-A38A-D428DA871078}">
            <xm:f>LEFT(B123,LEN('DATA VALIDATION LIST'!$A$28))='DATA VALIDATION LIST'!$A$28</xm:f>
            <xm:f>'DATA VALIDATION LIST'!$A$28</xm:f>
            <x14:dxf>
              <font>
                <color theme="0"/>
              </font>
              <fill>
                <patternFill>
                  <bgColor theme="6"/>
                </patternFill>
              </fill>
            </x14:dxf>
          </x14:cfRule>
          <x14:cfRule type="beginsWith" priority="46" operator="beginsWith" id="{A94B9BF1-2174-43BB-90E5-86A16DE142A0}">
            <xm:f>LEFT(B123,LEN('DATA VALIDATION LIST'!$A$27))='DATA VALIDATION LIST'!$A$27</xm:f>
            <xm:f>'DATA VALIDATION LIST'!$A$27</xm:f>
            <x14:dxf>
              <fill>
                <patternFill>
                  <bgColor rgb="FFEE954C"/>
                </patternFill>
              </fill>
            </x14:dxf>
          </x14:cfRule>
          <x14:cfRule type="beginsWith" priority="47" operator="beginsWith" id="{E2797C0F-C73E-4B0A-8B01-7566A020D639}">
            <xm:f>LEFT(B123,LEN('DATA VALIDATION LIST'!$A$26))='DATA VALIDATION LIST'!$A$26</xm:f>
            <xm:f>'DATA VALIDATION LIST'!$A$26</xm:f>
            <x14:dxf>
              <fill>
                <patternFill>
                  <bgColor rgb="FF33CCCC"/>
                </patternFill>
              </fill>
            </x14:dxf>
          </x14:cfRule>
          <x14:cfRule type="beginsWith" priority="48" operator="beginsWith" id="{AA2CD98A-C70F-462A-B24B-2A07459398B9}">
            <xm:f>LEFT(B123,LEN('DATA VALIDATION LIST'!$A$22))='DATA VALIDATION LIST'!$A$22</xm:f>
            <xm:f>'DATA VALIDATION LIST'!$A$22</xm:f>
            <x14:dxf>
              <fill>
                <patternFill>
                  <bgColor rgb="FF92D050"/>
                </patternFill>
              </fill>
            </x14:dxf>
          </x14:cfRule>
          <x14:cfRule type="beginsWith" priority="49" operator="beginsWith" id="{DA8E48E9-31BF-4135-A394-34FFC8BE00B4}">
            <xm:f>LEFT(B123,LEN('DATA VALIDATION LIST'!$A$21))='DATA VALIDATION LIST'!$A$21</xm:f>
            <xm:f>'DATA VALIDATION LIST'!$A$21</xm:f>
            <x14:dxf>
              <fill>
                <patternFill>
                  <bgColor theme="8" tint="0.79998168889431442"/>
                </patternFill>
              </fill>
            </x14:dxf>
          </x14:cfRule>
          <x14:cfRule type="beginsWith" priority="50" operator="beginsWith" id="{C115A85A-5AF4-4618-85DF-8016564EAB61}">
            <xm:f>LEFT(B123,LEN('DATA VALIDATION LIST'!$A$20))='DATA VALIDATION LIST'!$A$20</xm:f>
            <xm:f>'DATA VALIDATION LIST'!$A$20</xm:f>
            <x14:dxf>
              <fill>
                <patternFill>
                  <bgColor rgb="FFFFCE33"/>
                </patternFill>
              </fill>
            </x14:dxf>
          </x14:cfRule>
          <xm:sqref>B123:B124</xm:sqref>
        </x14:conditionalFormatting>
        <x14:conditionalFormatting xmlns:xm="http://schemas.microsoft.com/office/excel/2006/main">
          <x14:cfRule type="beginsWith" priority="31" operator="beginsWith" id="{FAD1DAB1-573E-4F1F-901F-52B1A52EA518}">
            <xm:f>LEFT(B126,LEN('DATA VALIDATION LIST'!$A$32))='DATA VALIDATION LIST'!$A$32</xm:f>
            <xm:f>'DATA VALIDATION LIST'!$A$32</xm:f>
            <x14:dxf>
              <fill>
                <patternFill>
                  <bgColor rgb="FFFF66CC"/>
                </patternFill>
              </fill>
            </x14:dxf>
          </x14:cfRule>
          <x14:cfRule type="beginsWith" priority="32" operator="beginsWith" id="{33EAA52C-ED2E-4BC0-BCBD-9A11F6CDF041}">
            <xm:f>LEFT(B126,LEN('DATA VALIDATION LIST'!$A$31))='DATA VALIDATION LIST'!$A$31</xm:f>
            <xm:f>'DATA VALIDATION LIST'!$A$31</xm:f>
            <x14:dxf>
              <fill>
                <patternFill>
                  <bgColor theme="9" tint="0.79998168889431442"/>
                </patternFill>
              </fill>
            </x14:dxf>
          </x14:cfRule>
          <x14:cfRule type="beginsWith" priority="33" operator="beginsWith" id="{1DC594D5-C623-47C1-AB95-1370F893FBAD}">
            <xm:f>LEFT(B126,LEN('DATA VALIDATION LIST'!$A$30))='DATA VALIDATION LIST'!$A$30</xm:f>
            <xm:f>'DATA VALIDATION LIST'!$A$30</xm:f>
            <x14:dxf>
              <fill>
                <patternFill>
                  <bgColor theme="5" tint="0.79998168889431442"/>
                </patternFill>
              </fill>
            </x14:dxf>
          </x14:cfRule>
          <x14:cfRule type="beginsWith" priority="34" operator="beginsWith" id="{1499BD63-71AD-40D7-A929-37B125DFE90D}">
            <xm:f>LEFT(B126,LEN('DATA VALIDATION LIST'!$A$29))='DATA VALIDATION LIST'!$A$29</xm:f>
            <xm:f>'DATA VALIDATION LIST'!$A$29</xm:f>
            <x14:dxf>
              <font>
                <color theme="0"/>
              </font>
              <fill>
                <patternFill>
                  <bgColor theme="4"/>
                </patternFill>
              </fill>
            </x14:dxf>
          </x14:cfRule>
          <x14:cfRule type="beginsWith" priority="35" operator="beginsWith" id="{A995ADE7-23A9-4DA8-8D77-F55A05F86BFE}">
            <xm:f>LEFT(B126,LEN('DATA VALIDATION LIST'!$A$28))='DATA VALIDATION LIST'!$A$28</xm:f>
            <xm:f>'DATA VALIDATION LIST'!$A$28</xm:f>
            <x14:dxf>
              <font>
                <color theme="0"/>
              </font>
              <fill>
                <patternFill>
                  <bgColor theme="6"/>
                </patternFill>
              </fill>
            </x14:dxf>
          </x14:cfRule>
          <x14:cfRule type="beginsWith" priority="36" operator="beginsWith" id="{6E9C3331-35CC-4606-9FBF-F7A9725E3035}">
            <xm:f>LEFT(B126,LEN('DATA VALIDATION LIST'!$A$27))='DATA VALIDATION LIST'!$A$27</xm:f>
            <xm:f>'DATA VALIDATION LIST'!$A$27</xm:f>
            <x14:dxf>
              <fill>
                <patternFill>
                  <bgColor rgb="FFEE954C"/>
                </patternFill>
              </fill>
            </x14:dxf>
          </x14:cfRule>
          <x14:cfRule type="beginsWith" priority="37" operator="beginsWith" id="{D2BC1ED7-68D6-4849-A9CC-82D1CD605932}">
            <xm:f>LEFT(B126,LEN('DATA VALIDATION LIST'!$A$26))='DATA VALIDATION LIST'!$A$26</xm:f>
            <xm:f>'DATA VALIDATION LIST'!$A$26</xm:f>
            <x14:dxf>
              <fill>
                <patternFill>
                  <bgColor rgb="FF33CCCC"/>
                </patternFill>
              </fill>
            </x14:dxf>
          </x14:cfRule>
          <x14:cfRule type="beginsWith" priority="38" operator="beginsWith" id="{03D4D36C-471E-41E6-A148-1EC9A62556EB}">
            <xm:f>LEFT(B126,LEN('DATA VALIDATION LIST'!$A$22))='DATA VALIDATION LIST'!$A$22</xm:f>
            <xm:f>'DATA VALIDATION LIST'!$A$22</xm:f>
            <x14:dxf>
              <fill>
                <patternFill>
                  <bgColor rgb="FF92D050"/>
                </patternFill>
              </fill>
            </x14:dxf>
          </x14:cfRule>
          <x14:cfRule type="beginsWith" priority="39" operator="beginsWith" id="{56EF822F-74C6-4C09-A808-607325BD95C7}">
            <xm:f>LEFT(B126,LEN('DATA VALIDATION LIST'!$A$21))='DATA VALIDATION LIST'!$A$21</xm:f>
            <xm:f>'DATA VALIDATION LIST'!$A$21</xm:f>
            <x14:dxf>
              <fill>
                <patternFill>
                  <bgColor theme="8" tint="0.79998168889431442"/>
                </patternFill>
              </fill>
            </x14:dxf>
          </x14:cfRule>
          <x14:cfRule type="beginsWith" priority="40" operator="beginsWith" id="{B93C4C2E-FCC9-4084-A4E9-954753EDB9BB}">
            <xm:f>LEFT(B126,LEN('DATA VALIDATION LIST'!$A$20))='DATA VALIDATION LIST'!$A$20</xm:f>
            <xm:f>'DATA VALIDATION LIST'!$A$20</xm:f>
            <x14:dxf>
              <fill>
                <patternFill>
                  <bgColor rgb="FFFFCE33"/>
                </patternFill>
              </fill>
            </x14:dxf>
          </x14:cfRule>
          <xm:sqref>B126</xm:sqref>
        </x14:conditionalFormatting>
        <x14:conditionalFormatting xmlns:xm="http://schemas.microsoft.com/office/excel/2006/main">
          <x14:cfRule type="beginsWith" priority="21" operator="beginsWith" id="{8BA117DC-A66C-4265-836C-B2848F0DC50D}">
            <xm:f>LEFT(B127,LEN('DATA VALIDATION LIST'!$A$32))='DATA VALIDATION LIST'!$A$32</xm:f>
            <xm:f>'DATA VALIDATION LIST'!$A$32</xm:f>
            <x14:dxf>
              <fill>
                <patternFill>
                  <bgColor rgb="FFFF66CC"/>
                </patternFill>
              </fill>
            </x14:dxf>
          </x14:cfRule>
          <x14:cfRule type="beginsWith" priority="22" operator="beginsWith" id="{6133029C-4FA3-4412-9488-08CD45694AD2}">
            <xm:f>LEFT(B127,LEN('DATA VALIDATION LIST'!$A$31))='DATA VALIDATION LIST'!$A$31</xm:f>
            <xm:f>'DATA VALIDATION LIST'!$A$31</xm:f>
            <x14:dxf>
              <fill>
                <patternFill>
                  <bgColor theme="9" tint="0.79998168889431442"/>
                </patternFill>
              </fill>
            </x14:dxf>
          </x14:cfRule>
          <x14:cfRule type="beginsWith" priority="23" operator="beginsWith" id="{72298E9B-CFB3-4CE1-8646-B4561AE6D3F6}">
            <xm:f>LEFT(B127,LEN('DATA VALIDATION LIST'!$A$30))='DATA VALIDATION LIST'!$A$30</xm:f>
            <xm:f>'DATA VALIDATION LIST'!$A$30</xm:f>
            <x14:dxf>
              <fill>
                <patternFill>
                  <bgColor theme="5" tint="0.79998168889431442"/>
                </patternFill>
              </fill>
            </x14:dxf>
          </x14:cfRule>
          <x14:cfRule type="beginsWith" priority="24" operator="beginsWith" id="{3C3DA65A-0477-4670-9D62-29C7E826022F}">
            <xm:f>LEFT(B127,LEN('DATA VALIDATION LIST'!$A$29))='DATA VALIDATION LIST'!$A$29</xm:f>
            <xm:f>'DATA VALIDATION LIST'!$A$29</xm:f>
            <x14:dxf>
              <font>
                <color theme="0"/>
              </font>
              <fill>
                <patternFill>
                  <bgColor theme="4"/>
                </patternFill>
              </fill>
            </x14:dxf>
          </x14:cfRule>
          <x14:cfRule type="beginsWith" priority="25" operator="beginsWith" id="{537BC31C-9404-47F6-BA5D-5936AA8388F3}">
            <xm:f>LEFT(B127,LEN('DATA VALIDATION LIST'!$A$28))='DATA VALIDATION LIST'!$A$28</xm:f>
            <xm:f>'DATA VALIDATION LIST'!$A$28</xm:f>
            <x14:dxf>
              <font>
                <color theme="0"/>
              </font>
              <fill>
                <patternFill>
                  <bgColor theme="6"/>
                </patternFill>
              </fill>
            </x14:dxf>
          </x14:cfRule>
          <x14:cfRule type="beginsWith" priority="26" operator="beginsWith" id="{6354F929-F924-4C84-8136-AF1B704FCB77}">
            <xm:f>LEFT(B127,LEN('DATA VALIDATION LIST'!$A$27))='DATA VALIDATION LIST'!$A$27</xm:f>
            <xm:f>'DATA VALIDATION LIST'!$A$27</xm:f>
            <x14:dxf>
              <fill>
                <patternFill>
                  <bgColor rgb="FFEE954C"/>
                </patternFill>
              </fill>
            </x14:dxf>
          </x14:cfRule>
          <x14:cfRule type="beginsWith" priority="27" operator="beginsWith" id="{8C20EAD4-EF7A-44CE-BAA7-55AC973F418B}">
            <xm:f>LEFT(B127,LEN('DATA VALIDATION LIST'!$A$26))='DATA VALIDATION LIST'!$A$26</xm:f>
            <xm:f>'DATA VALIDATION LIST'!$A$26</xm:f>
            <x14:dxf>
              <fill>
                <patternFill>
                  <bgColor rgb="FF33CCCC"/>
                </patternFill>
              </fill>
            </x14:dxf>
          </x14:cfRule>
          <x14:cfRule type="beginsWith" priority="28" operator="beginsWith" id="{EA17D199-BAC8-48A6-BFC9-51E5F09C258B}">
            <xm:f>LEFT(B127,LEN('DATA VALIDATION LIST'!$A$22))='DATA VALIDATION LIST'!$A$22</xm:f>
            <xm:f>'DATA VALIDATION LIST'!$A$22</xm:f>
            <x14:dxf>
              <fill>
                <patternFill>
                  <bgColor rgb="FF92D050"/>
                </patternFill>
              </fill>
            </x14:dxf>
          </x14:cfRule>
          <x14:cfRule type="beginsWith" priority="29" operator="beginsWith" id="{F6972C4E-4EE3-4469-863F-58A918CC73A8}">
            <xm:f>LEFT(B127,LEN('DATA VALIDATION LIST'!$A$21))='DATA VALIDATION LIST'!$A$21</xm:f>
            <xm:f>'DATA VALIDATION LIST'!$A$21</xm:f>
            <x14:dxf>
              <fill>
                <patternFill>
                  <bgColor theme="8" tint="0.79998168889431442"/>
                </patternFill>
              </fill>
            </x14:dxf>
          </x14:cfRule>
          <x14:cfRule type="beginsWith" priority="30" operator="beginsWith" id="{17F9849A-2D0F-4D4F-9F89-FF1C3E8541AF}">
            <xm:f>LEFT(B127,LEN('DATA VALIDATION LIST'!$A$20))='DATA VALIDATION LIST'!$A$20</xm:f>
            <xm:f>'DATA VALIDATION LIST'!$A$20</xm:f>
            <x14:dxf>
              <fill>
                <patternFill>
                  <bgColor rgb="FFFFCE33"/>
                </patternFill>
              </fill>
            </x14:dxf>
          </x14:cfRule>
          <xm:sqref>B127</xm:sqref>
        </x14:conditionalFormatting>
        <x14:conditionalFormatting xmlns:xm="http://schemas.microsoft.com/office/excel/2006/main">
          <x14:cfRule type="beginsWith" priority="11" operator="beginsWith" id="{61DB8DEA-3347-42C0-8F9E-093382A17D4D}">
            <xm:f>LEFT(B129,LEN('DATA VALIDATION LIST'!$A$32))='DATA VALIDATION LIST'!$A$32</xm:f>
            <xm:f>'DATA VALIDATION LIST'!$A$32</xm:f>
            <x14:dxf>
              <fill>
                <patternFill>
                  <bgColor rgb="FFFF66CC"/>
                </patternFill>
              </fill>
            </x14:dxf>
          </x14:cfRule>
          <x14:cfRule type="beginsWith" priority="12" operator="beginsWith" id="{450C99AD-B248-44FA-921C-ACBF65C3F816}">
            <xm:f>LEFT(B129,LEN('DATA VALIDATION LIST'!$A$31))='DATA VALIDATION LIST'!$A$31</xm:f>
            <xm:f>'DATA VALIDATION LIST'!$A$31</xm:f>
            <x14:dxf>
              <fill>
                <patternFill>
                  <bgColor theme="9" tint="0.79998168889431442"/>
                </patternFill>
              </fill>
            </x14:dxf>
          </x14:cfRule>
          <x14:cfRule type="beginsWith" priority="13" operator="beginsWith" id="{CE8EE16F-604B-461F-8D0C-64F217504E93}">
            <xm:f>LEFT(B129,LEN('DATA VALIDATION LIST'!$A$30))='DATA VALIDATION LIST'!$A$30</xm:f>
            <xm:f>'DATA VALIDATION LIST'!$A$30</xm:f>
            <x14:dxf>
              <fill>
                <patternFill>
                  <bgColor theme="5" tint="0.79998168889431442"/>
                </patternFill>
              </fill>
            </x14:dxf>
          </x14:cfRule>
          <x14:cfRule type="beginsWith" priority="14" operator="beginsWith" id="{4FD170B6-B651-4E79-81F5-69DDB81A81CC}">
            <xm:f>LEFT(B129,LEN('DATA VALIDATION LIST'!$A$29))='DATA VALIDATION LIST'!$A$29</xm:f>
            <xm:f>'DATA VALIDATION LIST'!$A$29</xm:f>
            <x14:dxf>
              <font>
                <color theme="0"/>
              </font>
              <fill>
                <patternFill>
                  <bgColor theme="4"/>
                </patternFill>
              </fill>
            </x14:dxf>
          </x14:cfRule>
          <x14:cfRule type="beginsWith" priority="15" operator="beginsWith" id="{E82548DD-984A-48DC-9BBA-EC88B67C0EC3}">
            <xm:f>LEFT(B129,LEN('DATA VALIDATION LIST'!$A$28))='DATA VALIDATION LIST'!$A$28</xm:f>
            <xm:f>'DATA VALIDATION LIST'!$A$28</xm:f>
            <x14:dxf>
              <font>
                <color theme="0"/>
              </font>
              <fill>
                <patternFill>
                  <bgColor theme="6"/>
                </patternFill>
              </fill>
            </x14:dxf>
          </x14:cfRule>
          <x14:cfRule type="beginsWith" priority="16" operator="beginsWith" id="{EBFC6C3A-7F14-4C7B-9AC6-C6375F3F76EA}">
            <xm:f>LEFT(B129,LEN('DATA VALIDATION LIST'!$A$27))='DATA VALIDATION LIST'!$A$27</xm:f>
            <xm:f>'DATA VALIDATION LIST'!$A$27</xm:f>
            <x14:dxf>
              <fill>
                <patternFill>
                  <bgColor rgb="FFEE954C"/>
                </patternFill>
              </fill>
            </x14:dxf>
          </x14:cfRule>
          <x14:cfRule type="beginsWith" priority="17" operator="beginsWith" id="{3793DEC0-0597-4CE7-9737-FF43280E318D}">
            <xm:f>LEFT(B129,LEN('DATA VALIDATION LIST'!$A$26))='DATA VALIDATION LIST'!$A$26</xm:f>
            <xm:f>'DATA VALIDATION LIST'!$A$26</xm:f>
            <x14:dxf>
              <fill>
                <patternFill>
                  <bgColor rgb="FF33CCCC"/>
                </patternFill>
              </fill>
            </x14:dxf>
          </x14:cfRule>
          <x14:cfRule type="beginsWith" priority="18" operator="beginsWith" id="{393A78F1-3159-4EC2-B564-F0016D915CB6}">
            <xm:f>LEFT(B129,LEN('DATA VALIDATION LIST'!$A$22))='DATA VALIDATION LIST'!$A$22</xm:f>
            <xm:f>'DATA VALIDATION LIST'!$A$22</xm:f>
            <x14:dxf>
              <fill>
                <patternFill>
                  <bgColor rgb="FF92D050"/>
                </patternFill>
              </fill>
            </x14:dxf>
          </x14:cfRule>
          <x14:cfRule type="beginsWith" priority="19" operator="beginsWith" id="{ABCAC2B5-ABE2-4144-B936-1C205C76A039}">
            <xm:f>LEFT(B129,LEN('DATA VALIDATION LIST'!$A$21))='DATA VALIDATION LIST'!$A$21</xm:f>
            <xm:f>'DATA VALIDATION LIST'!$A$21</xm:f>
            <x14:dxf>
              <fill>
                <patternFill>
                  <bgColor theme="8" tint="0.79998168889431442"/>
                </patternFill>
              </fill>
            </x14:dxf>
          </x14:cfRule>
          <x14:cfRule type="beginsWith" priority="20" operator="beginsWith" id="{DDB38A02-63D1-4243-BC48-BCF5267F87CD}">
            <xm:f>LEFT(B129,LEN('DATA VALIDATION LIST'!$A$20))='DATA VALIDATION LIST'!$A$20</xm:f>
            <xm:f>'DATA VALIDATION LIST'!$A$20</xm:f>
            <x14:dxf>
              <fill>
                <patternFill>
                  <bgColor rgb="FFFFCE33"/>
                </patternFill>
              </fill>
            </x14:dxf>
          </x14:cfRule>
          <xm:sqref>B129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DBA9916-1DA8-40CC-BA4C-3EBCB5F6EB88}">
          <x14:formula1>
            <xm:f>MATRIX!$C$8:$C$128</xm:f>
          </x14:formula1>
          <xm:sqref>C24:C27 C8:C9 C11:C12 C14:C16 C18:C19 C21:C22 C29:C31 C33:C82 C85:C89 C91:C95 C97:C105 C107:C109 C111:C113 C115:C117 C119:C120 C122:C124 C126:C127 C129:C133 C138:C142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1A045-613F-4BB7-ABEE-011C28B65262}">
  <sheetPr>
    <outlinePr summaryBelow="0" summaryRight="0"/>
  </sheetPr>
  <dimension ref="A2:AV56"/>
  <sheetViews>
    <sheetView zoomScale="90" zoomScaleNormal="90" workbookViewId="0">
      <selection activeCell="B12" sqref="B12"/>
    </sheetView>
  </sheetViews>
  <sheetFormatPr defaultRowHeight="14.5" outlineLevelRow="1" x14ac:dyDescent="0.35"/>
  <cols>
    <col min="1" max="1" width="22.7265625" style="1" customWidth="1"/>
    <col min="2" max="2" width="8.7265625" customWidth="1"/>
    <col min="3" max="3" width="5.1796875" customWidth="1"/>
    <col min="4" max="24" width="5.26953125" customWidth="1"/>
  </cols>
  <sheetData>
    <row r="2" spans="1:48" x14ac:dyDescent="0.35">
      <c r="A2" s="1" t="s">
        <v>523</v>
      </c>
      <c r="C2" s="125" t="s">
        <v>524</v>
      </c>
      <c r="D2" s="122"/>
      <c r="E2" s="122"/>
      <c r="F2" s="122"/>
      <c r="G2" s="122"/>
      <c r="H2" s="122"/>
      <c r="I2" s="122"/>
      <c r="J2" s="122"/>
      <c r="K2" s="122"/>
      <c r="L2" s="122"/>
      <c r="M2" s="122"/>
      <c r="N2" s="122"/>
      <c r="O2" s="122"/>
      <c r="P2" s="122"/>
      <c r="Q2" s="122"/>
      <c r="R2" s="122"/>
      <c r="S2" s="122"/>
      <c r="T2" s="122"/>
      <c r="U2" s="123" t="s">
        <v>525</v>
      </c>
      <c r="V2" s="123"/>
      <c r="W2" s="123"/>
      <c r="X2" s="123"/>
      <c r="Y2" s="123"/>
      <c r="Z2" s="123"/>
      <c r="AA2" s="123"/>
      <c r="AB2" s="123"/>
      <c r="AC2" s="122" t="s">
        <v>526</v>
      </c>
      <c r="AD2" s="122"/>
      <c r="AE2" s="122"/>
      <c r="AF2" s="122"/>
      <c r="AG2" s="122"/>
      <c r="AH2" s="123" t="s">
        <v>527</v>
      </c>
      <c r="AI2" s="123"/>
      <c r="AJ2" s="123"/>
      <c r="AK2" s="123"/>
      <c r="AL2" s="123"/>
      <c r="AM2" s="122" t="s">
        <v>528</v>
      </c>
      <c r="AN2" s="122"/>
      <c r="AO2" s="122"/>
      <c r="AP2" s="122"/>
      <c r="AQ2" s="122"/>
      <c r="AR2" s="123" t="s">
        <v>529</v>
      </c>
      <c r="AS2" s="123"/>
      <c r="AT2" s="123"/>
      <c r="AU2" s="123"/>
      <c r="AV2" s="123"/>
    </row>
    <row r="3" spans="1:48" x14ac:dyDescent="0.35">
      <c r="A3" s="1" t="s">
        <v>530</v>
      </c>
      <c r="C3" s="152" t="s">
        <v>531</v>
      </c>
      <c r="D3" s="153"/>
      <c r="E3" s="152" t="s">
        <v>532</v>
      </c>
      <c r="F3" s="153"/>
      <c r="G3" s="153"/>
      <c r="H3" s="153"/>
      <c r="I3" s="152" t="s">
        <v>533</v>
      </c>
      <c r="J3" s="153"/>
      <c r="K3" s="153"/>
      <c r="L3" s="153"/>
      <c r="M3" s="152" t="s">
        <v>534</v>
      </c>
      <c r="N3" s="153"/>
      <c r="O3" s="153"/>
      <c r="P3" s="153"/>
      <c r="Q3" s="152" t="s">
        <v>535</v>
      </c>
      <c r="R3" s="153"/>
      <c r="S3" s="153"/>
      <c r="T3" s="153"/>
      <c r="U3" s="152" t="s">
        <v>536</v>
      </c>
      <c r="V3" s="153"/>
      <c r="W3" s="153"/>
      <c r="X3" s="153"/>
      <c r="Y3" s="126" t="s">
        <v>537</v>
      </c>
      <c r="Z3" s="126" t="s">
        <v>538</v>
      </c>
      <c r="AA3" s="126" t="s">
        <v>539</v>
      </c>
      <c r="AB3" s="126" t="s">
        <v>540</v>
      </c>
      <c r="AC3" s="126" t="s">
        <v>541</v>
      </c>
      <c r="AD3" s="126" t="s">
        <v>542</v>
      </c>
      <c r="AE3" s="126" t="s">
        <v>543</v>
      </c>
      <c r="AF3" s="126" t="s">
        <v>544</v>
      </c>
      <c r="AG3" s="126" t="s">
        <v>545</v>
      </c>
      <c r="AH3" s="126" t="s">
        <v>546</v>
      </c>
      <c r="AI3" s="126" t="s">
        <v>547</v>
      </c>
      <c r="AJ3" s="126" t="s">
        <v>548</v>
      </c>
      <c r="AK3" s="126" t="s">
        <v>549</v>
      </c>
      <c r="AL3" s="126" t="s">
        <v>550</v>
      </c>
      <c r="AM3" s="126" t="s">
        <v>551</v>
      </c>
      <c r="AN3" s="126" t="s">
        <v>552</v>
      </c>
      <c r="AO3" s="126" t="s">
        <v>553</v>
      </c>
      <c r="AP3" s="126" t="s">
        <v>554</v>
      </c>
      <c r="AQ3" s="126" t="s">
        <v>555</v>
      </c>
      <c r="AR3" s="126" t="s">
        <v>556</v>
      </c>
    </row>
    <row r="4" spans="1:48" x14ac:dyDescent="0.35">
      <c r="AP4" s="154" t="s">
        <v>557</v>
      </c>
      <c r="AQ4" s="154"/>
    </row>
    <row r="5" spans="1:48" s="1" customFormat="1" x14ac:dyDescent="0.35">
      <c r="A5" s="1" t="s">
        <v>558</v>
      </c>
      <c r="C5" s="1" t="s">
        <v>559</v>
      </c>
      <c r="D5" s="1" t="s">
        <v>560</v>
      </c>
      <c r="E5" s="1" t="s">
        <v>561</v>
      </c>
      <c r="F5" s="1" t="s">
        <v>562</v>
      </c>
      <c r="G5" s="1" t="s">
        <v>559</v>
      </c>
      <c r="H5" s="1" t="s">
        <v>560</v>
      </c>
      <c r="I5" s="1" t="s">
        <v>561</v>
      </c>
      <c r="J5" s="1" t="s">
        <v>562</v>
      </c>
      <c r="K5" s="1" t="s">
        <v>559</v>
      </c>
      <c r="L5" s="1" t="s">
        <v>560</v>
      </c>
      <c r="M5" s="1" t="s">
        <v>561</v>
      </c>
      <c r="N5" s="1" t="s">
        <v>562</v>
      </c>
      <c r="O5" s="1" t="s">
        <v>559</v>
      </c>
      <c r="P5" s="1" t="s">
        <v>560</v>
      </c>
      <c r="Q5" s="1" t="s">
        <v>561</v>
      </c>
      <c r="R5" s="1" t="s">
        <v>562</v>
      </c>
      <c r="S5" s="1" t="s">
        <v>559</v>
      </c>
      <c r="T5" s="1" t="s">
        <v>560</v>
      </c>
      <c r="U5" s="1" t="s">
        <v>561</v>
      </c>
      <c r="V5" s="1" t="s">
        <v>562</v>
      </c>
      <c r="W5" s="1" t="s">
        <v>559</v>
      </c>
      <c r="X5" s="1" t="s">
        <v>560</v>
      </c>
    </row>
    <row r="7" spans="1:48" ht="18" customHeight="1" x14ac:dyDescent="0.35">
      <c r="A7" s="1" t="s">
        <v>563</v>
      </c>
      <c r="B7" s="1"/>
      <c r="C7" s="127" t="s">
        <v>564</v>
      </c>
      <c r="D7" s="127"/>
      <c r="E7" s="124"/>
      <c r="F7" s="124"/>
      <c r="G7" s="124"/>
      <c r="H7" s="124"/>
      <c r="I7" s="124"/>
      <c r="J7" s="124"/>
    </row>
    <row r="8" spans="1:48" ht="18" customHeight="1" x14ac:dyDescent="0.35">
      <c r="B8" s="1"/>
      <c r="C8" s="128" t="s">
        <v>565</v>
      </c>
      <c r="D8" s="128"/>
      <c r="E8" s="128"/>
      <c r="F8" s="128"/>
      <c r="G8" s="137"/>
      <c r="H8" s="124"/>
      <c r="I8" s="124"/>
      <c r="J8" s="124"/>
      <c r="K8" s="124"/>
      <c r="L8" s="124"/>
      <c r="M8" s="124"/>
      <c r="N8" s="124"/>
    </row>
    <row r="9" spans="1:48" ht="18" customHeight="1" x14ac:dyDescent="0.35">
      <c r="B9" s="1" t="str">
        <f>byPROJECT!A7</f>
        <v>PP10</v>
      </c>
      <c r="C9" s="129"/>
      <c r="D9" s="129"/>
      <c r="E9" s="129"/>
      <c r="F9" s="129"/>
      <c r="G9" s="136" t="s">
        <v>566</v>
      </c>
      <c r="H9" s="100"/>
      <c r="I9" s="100"/>
      <c r="J9" s="136"/>
      <c r="K9" s="136"/>
      <c r="Y9" s="138" t="s">
        <v>567</v>
      </c>
      <c r="Z9" s="138"/>
      <c r="AA9" s="138"/>
      <c r="AB9" s="138"/>
      <c r="AC9" s="138"/>
    </row>
    <row r="10" spans="1:48" ht="18" customHeight="1" x14ac:dyDescent="0.35">
      <c r="B10" s="1" t="str">
        <f>byPROJECT!A10</f>
        <v>PP11</v>
      </c>
      <c r="E10" s="122"/>
      <c r="F10" s="122"/>
      <c r="G10" s="122"/>
      <c r="H10" s="122"/>
      <c r="I10" s="123" t="s">
        <v>568</v>
      </c>
      <c r="J10" s="123"/>
      <c r="K10" s="123"/>
      <c r="L10" s="123"/>
      <c r="M10" s="123"/>
      <c r="N10" s="123"/>
      <c r="O10" s="123"/>
    </row>
    <row r="11" spans="1:48" ht="18" customHeight="1" x14ac:dyDescent="0.35">
      <c r="B11" s="1" t="str">
        <f>byPROJECT!A13</f>
        <v>PP12</v>
      </c>
      <c r="E11" s="122"/>
      <c r="F11" s="122"/>
      <c r="G11" s="122"/>
      <c r="H11" s="122"/>
      <c r="I11" s="123" t="s">
        <v>273</v>
      </c>
      <c r="J11" s="123"/>
      <c r="K11" s="123"/>
      <c r="L11" s="123"/>
      <c r="M11" s="123"/>
      <c r="N11" s="123"/>
      <c r="O11" s="123"/>
    </row>
    <row r="12" spans="1:48" ht="18" customHeight="1" x14ac:dyDescent="0.35">
      <c r="B12" s="1"/>
      <c r="K12" s="140" t="s">
        <v>569</v>
      </c>
      <c r="L12" s="140"/>
      <c r="M12" s="140"/>
      <c r="N12" s="140"/>
      <c r="O12" s="139"/>
      <c r="P12" s="139"/>
      <c r="Q12" s="139"/>
      <c r="R12" s="139"/>
      <c r="S12" s="139"/>
      <c r="T12" s="139"/>
    </row>
    <row r="13" spans="1:48" ht="18" customHeight="1" x14ac:dyDescent="0.35">
      <c r="B13" s="1"/>
      <c r="G13" s="140" t="s">
        <v>570</v>
      </c>
      <c r="H13" s="140"/>
      <c r="I13" s="140"/>
      <c r="J13" s="140"/>
      <c r="K13" s="139"/>
      <c r="L13" s="139"/>
      <c r="M13" s="139"/>
      <c r="N13" s="139"/>
      <c r="O13" s="139"/>
      <c r="P13" s="139"/>
    </row>
    <row r="14" spans="1:48" ht="18" customHeight="1" x14ac:dyDescent="0.35">
      <c r="B14" s="1"/>
    </row>
    <row r="15" spans="1:48" ht="18" customHeight="1" x14ac:dyDescent="0.35">
      <c r="A15" s="1" t="s">
        <v>571</v>
      </c>
      <c r="B15" s="1"/>
      <c r="E15" s="129" t="s">
        <v>572</v>
      </c>
      <c r="F15" s="129"/>
      <c r="G15" s="129"/>
      <c r="H15" s="129"/>
    </row>
    <row r="16" spans="1:48" ht="18" customHeight="1" x14ac:dyDescent="0.35">
      <c r="B16" s="1"/>
      <c r="E16" t="s">
        <v>573</v>
      </c>
      <c r="I16" s="130" t="s">
        <v>574</v>
      </c>
      <c r="J16" s="130"/>
      <c r="K16" s="130"/>
      <c r="L16" s="130"/>
      <c r="M16" s="131" t="s">
        <v>575</v>
      </c>
      <c r="N16" s="131"/>
      <c r="O16" s="131"/>
      <c r="P16" s="131"/>
      <c r="V16" s="131" t="s">
        <v>576</v>
      </c>
      <c r="W16" s="131"/>
      <c r="X16" s="131"/>
      <c r="Y16" s="131"/>
      <c r="AD16" s="131" t="s">
        <v>577</v>
      </c>
      <c r="AE16" s="131"/>
      <c r="AF16" s="131"/>
      <c r="AG16" s="131"/>
      <c r="AH16" s="131"/>
    </row>
    <row r="17" spans="1:30" ht="18" customHeight="1" x14ac:dyDescent="0.35">
      <c r="B17" s="1"/>
      <c r="M17" t="s">
        <v>578</v>
      </c>
      <c r="V17" t="s">
        <v>578</v>
      </c>
      <c r="AD17" t="s">
        <v>578</v>
      </c>
    </row>
    <row r="18" spans="1:30" ht="18" customHeight="1" x14ac:dyDescent="0.35">
      <c r="B18" s="1"/>
      <c r="M18" t="s">
        <v>579</v>
      </c>
      <c r="V18" t="s">
        <v>579</v>
      </c>
    </row>
    <row r="19" spans="1:30" ht="18" customHeight="1" x14ac:dyDescent="0.35">
      <c r="B19" s="1"/>
      <c r="M19" t="s">
        <v>580</v>
      </c>
      <c r="V19" t="s">
        <v>581</v>
      </c>
    </row>
    <row r="20" spans="1:30" ht="18" customHeight="1" x14ac:dyDescent="0.35">
      <c r="B20" s="1"/>
    </row>
    <row r="21" spans="1:30" ht="18" customHeight="1" x14ac:dyDescent="0.35">
      <c r="B21" s="1"/>
      <c r="K21" s="130" t="s">
        <v>582</v>
      </c>
      <c r="L21" s="130"/>
      <c r="M21" s="130"/>
      <c r="N21" s="130"/>
      <c r="O21" s="109" t="s">
        <v>583</v>
      </c>
      <c r="P21" s="131" t="s">
        <v>584</v>
      </c>
      <c r="Q21" s="131"/>
      <c r="R21" s="131"/>
      <c r="S21" s="131"/>
      <c r="T21" s="131"/>
      <c r="U21" s="131"/>
      <c r="V21" s="131"/>
    </row>
    <row r="22" spans="1:30" ht="18" customHeight="1" outlineLevel="1" x14ac:dyDescent="0.35">
      <c r="B22" s="1"/>
      <c r="K22" t="s">
        <v>573</v>
      </c>
      <c r="O22" t="s">
        <v>578</v>
      </c>
    </row>
    <row r="23" spans="1:30" ht="18" customHeight="1" outlineLevel="1" x14ac:dyDescent="0.35">
      <c r="B23" s="1"/>
      <c r="O23" s="1" t="str">
        <f>MATRIX!C70</f>
        <v>EN29</v>
      </c>
      <c r="P23" t="s">
        <v>585</v>
      </c>
    </row>
    <row r="24" spans="1:30" ht="18" customHeight="1" outlineLevel="1" x14ac:dyDescent="0.35">
      <c r="B24" s="1"/>
      <c r="O24" s="1" t="str">
        <f>MATRIX!C106</f>
        <v>P1</v>
      </c>
      <c r="P24" t="s">
        <v>586</v>
      </c>
    </row>
    <row r="25" spans="1:30" ht="18" customHeight="1" outlineLevel="1" x14ac:dyDescent="0.35">
      <c r="B25" s="1"/>
      <c r="O25" s="1" t="s">
        <v>587</v>
      </c>
      <c r="P25" t="s">
        <v>588</v>
      </c>
    </row>
    <row r="26" spans="1:30" ht="18" customHeight="1" outlineLevel="1" x14ac:dyDescent="0.35">
      <c r="B26" s="1"/>
      <c r="O26" s="1" t="s">
        <v>66</v>
      </c>
      <c r="P26" t="s">
        <v>589</v>
      </c>
    </row>
    <row r="27" spans="1:30" ht="18" customHeight="1" x14ac:dyDescent="0.35">
      <c r="B27" s="1"/>
      <c r="O27" s="1"/>
    </row>
    <row r="28" spans="1:30" ht="18" customHeight="1" x14ac:dyDescent="0.35">
      <c r="B28" s="1"/>
    </row>
    <row r="29" spans="1:30" ht="18" customHeight="1" x14ac:dyDescent="0.35">
      <c r="B29" s="1"/>
    </row>
    <row r="30" spans="1:30" ht="18" customHeight="1" x14ac:dyDescent="0.35">
      <c r="B30" s="1"/>
    </row>
    <row r="31" spans="1:30" ht="18" customHeight="1" x14ac:dyDescent="0.35">
      <c r="B31" s="1"/>
    </row>
    <row r="32" spans="1:30" ht="18" customHeight="1" x14ac:dyDescent="0.35">
      <c r="A32"/>
    </row>
    <row r="33" spans="1:2" ht="18" customHeight="1" x14ac:dyDescent="0.35">
      <c r="A33" t="s">
        <v>356</v>
      </c>
      <c r="B33" s="100"/>
    </row>
    <row r="34" spans="1:2" ht="18" customHeight="1" x14ac:dyDescent="0.35">
      <c r="A34" t="s">
        <v>45</v>
      </c>
      <c r="B34" s="112"/>
    </row>
    <row r="35" spans="1:2" ht="18" customHeight="1" x14ac:dyDescent="0.35">
      <c r="A35" t="s">
        <v>57</v>
      </c>
      <c r="B35" s="138"/>
    </row>
    <row r="36" spans="1:2" ht="18" customHeight="1" x14ac:dyDescent="0.35">
      <c r="A36"/>
    </row>
    <row r="37" spans="1:2" ht="18" customHeight="1" x14ac:dyDescent="0.35">
      <c r="A37"/>
    </row>
    <row r="38" spans="1:2" ht="18" customHeight="1" x14ac:dyDescent="0.35">
      <c r="A38"/>
    </row>
    <row r="39" spans="1:2" ht="18" customHeight="1" x14ac:dyDescent="0.35">
      <c r="A39"/>
    </row>
    <row r="40" spans="1:2" ht="18" customHeight="1" x14ac:dyDescent="0.35">
      <c r="A40"/>
    </row>
    <row r="41" spans="1:2" ht="18" customHeight="1" x14ac:dyDescent="0.35">
      <c r="A41"/>
    </row>
    <row r="42" spans="1:2" ht="18" customHeight="1" x14ac:dyDescent="0.35">
      <c r="A42"/>
    </row>
    <row r="43" spans="1:2" ht="18" customHeight="1" x14ac:dyDescent="0.35">
      <c r="A43"/>
    </row>
    <row r="44" spans="1:2" ht="18" customHeight="1" x14ac:dyDescent="0.35">
      <c r="A44"/>
    </row>
    <row r="45" spans="1:2" ht="18" customHeight="1" x14ac:dyDescent="0.35">
      <c r="A45"/>
    </row>
    <row r="46" spans="1:2" ht="18" customHeight="1" x14ac:dyDescent="0.35">
      <c r="A46"/>
    </row>
    <row r="47" spans="1:2" ht="18" customHeight="1" x14ac:dyDescent="0.35">
      <c r="A47"/>
    </row>
    <row r="48" spans="1:2" ht="18" customHeight="1" x14ac:dyDescent="0.35">
      <c r="A48"/>
    </row>
    <row r="49" spans="1:1" ht="18" customHeight="1" x14ac:dyDescent="0.35">
      <c r="A49"/>
    </row>
    <row r="50" spans="1:1" ht="18" customHeight="1" x14ac:dyDescent="0.35">
      <c r="A50"/>
    </row>
    <row r="51" spans="1:1" ht="18" customHeight="1" x14ac:dyDescent="0.35">
      <c r="A51"/>
    </row>
    <row r="52" spans="1:1" ht="18" customHeight="1" x14ac:dyDescent="0.35">
      <c r="A52"/>
    </row>
    <row r="53" spans="1:1" ht="18" customHeight="1" x14ac:dyDescent="0.35">
      <c r="A53"/>
    </row>
    <row r="54" spans="1:1" ht="18" customHeight="1" x14ac:dyDescent="0.35">
      <c r="A54"/>
    </row>
    <row r="55" spans="1:1" ht="18" customHeight="1" x14ac:dyDescent="0.35">
      <c r="A55"/>
    </row>
    <row r="56" spans="1:1" ht="18" customHeight="1" x14ac:dyDescent="0.35">
      <c r="A56"/>
    </row>
  </sheetData>
  <mergeCells count="7">
    <mergeCell ref="U3:X3"/>
    <mergeCell ref="AP4:AQ4"/>
    <mergeCell ref="C3:D3"/>
    <mergeCell ref="E3:H3"/>
    <mergeCell ref="I3:L3"/>
    <mergeCell ref="M3:P3"/>
    <mergeCell ref="Q3:T3"/>
  </mergeCells>
  <phoneticPr fontId="6" type="noConversion"/>
  <pageMargins left="0.7" right="0.7" top="0.75" bottom="0.75" header="0.3" footer="0.3"/>
  <pageSetup paperSize="256"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4CEC7-66A3-4D9D-83BA-D889DE7794F6}">
  <sheetPr codeName="Sheet5">
    <pageSetUpPr fitToPage="1"/>
  </sheetPr>
  <dimension ref="A1:X128"/>
  <sheetViews>
    <sheetView zoomScale="110" zoomScaleNormal="110" workbookViewId="0">
      <pane ySplit="9" topLeftCell="A66" activePane="bottomLeft" state="frozen"/>
      <selection pane="bottomLeft" activeCell="E123" sqref="E123"/>
    </sheetView>
  </sheetViews>
  <sheetFormatPr defaultRowHeight="14.5" x14ac:dyDescent="0.35"/>
  <cols>
    <col min="1" max="1" width="5.81640625" style="42" customWidth="1"/>
    <col min="2" max="2" width="16.453125" customWidth="1"/>
    <col min="3" max="3" width="7" customWidth="1"/>
    <col min="4" max="4" width="37" style="2" customWidth="1"/>
    <col min="5" max="5" width="28.26953125" customWidth="1"/>
    <col min="6" max="6" width="24.54296875" customWidth="1"/>
    <col min="7" max="7" width="28.453125" customWidth="1"/>
    <col min="8" max="8" width="24.81640625" customWidth="1"/>
    <col min="9" max="9" width="22.7265625" customWidth="1"/>
    <col min="10" max="11" width="23.81640625" customWidth="1"/>
    <col min="12" max="20" width="26" customWidth="1"/>
    <col min="21" max="21" width="40.7265625" customWidth="1"/>
    <col min="22" max="22" width="58.7265625" customWidth="1"/>
  </cols>
  <sheetData>
    <row r="1" spans="1:24" ht="2.25" customHeight="1" x14ac:dyDescent="0.35"/>
    <row r="2" spans="1:24" ht="32.25" customHeight="1" x14ac:dyDescent="0.5">
      <c r="B2" s="25" t="s">
        <v>10</v>
      </c>
      <c r="F2" s="67" t="s">
        <v>590</v>
      </c>
      <c r="I2" s="12"/>
      <c r="J2" s="12"/>
      <c r="K2" s="12"/>
      <c r="L2" s="12"/>
      <c r="M2" s="12"/>
      <c r="N2" s="12"/>
      <c r="O2" s="12"/>
      <c r="P2" s="12"/>
      <c r="Q2" s="12"/>
      <c r="R2" s="12"/>
      <c r="S2" s="12"/>
      <c r="T2" s="12"/>
    </row>
    <row r="3" spans="1:24" ht="16" x14ac:dyDescent="0.4">
      <c r="B3" s="26" t="s">
        <v>2</v>
      </c>
      <c r="F3" s="23"/>
      <c r="G3" s="3"/>
      <c r="H3" s="3"/>
      <c r="I3" s="3"/>
      <c r="J3" s="3"/>
      <c r="K3" s="3"/>
      <c r="L3" s="3"/>
      <c r="M3" s="3"/>
      <c r="N3" s="3"/>
      <c r="O3" s="3"/>
      <c r="P3" s="3"/>
      <c r="Q3" s="3"/>
      <c r="R3" s="3"/>
      <c r="S3" s="3"/>
      <c r="T3" s="3"/>
    </row>
    <row r="4" spans="1:24" x14ac:dyDescent="0.35">
      <c r="B4" s="1"/>
      <c r="F4" s="23"/>
      <c r="G4" s="3"/>
      <c r="H4" s="3"/>
      <c r="I4" s="3"/>
      <c r="J4" s="3"/>
      <c r="K4" s="3"/>
      <c r="L4" s="69" t="s">
        <v>591</v>
      </c>
      <c r="M4" s="3"/>
      <c r="N4" s="3"/>
      <c r="O4" s="3"/>
      <c r="P4" s="3"/>
      <c r="Q4" s="3"/>
      <c r="R4" s="3"/>
      <c r="S4" s="3"/>
      <c r="T4" s="3"/>
    </row>
    <row r="5" spans="1:24" ht="15" customHeight="1" x14ac:dyDescent="0.35">
      <c r="F5" s="23"/>
      <c r="G5" s="3"/>
      <c r="H5" s="3"/>
      <c r="I5" s="3"/>
      <c r="J5" s="3"/>
      <c r="K5" s="3"/>
      <c r="L5" s="51" t="s">
        <v>11</v>
      </c>
      <c r="M5" s="3"/>
      <c r="N5" s="3"/>
      <c r="O5" s="3"/>
      <c r="P5" s="3"/>
      <c r="Q5" s="3"/>
      <c r="R5" s="3"/>
      <c r="S5" s="3"/>
      <c r="T5" s="3"/>
      <c r="X5" s="3"/>
    </row>
    <row r="6" spans="1:24" ht="16.5" customHeight="1" x14ac:dyDescent="0.35">
      <c r="B6" s="1"/>
      <c r="E6" s="68"/>
      <c r="F6" s="33"/>
      <c r="G6" s="69" t="s">
        <v>592</v>
      </c>
      <c r="H6" s="3"/>
      <c r="I6" s="3"/>
      <c r="J6" s="3"/>
      <c r="K6" s="3"/>
      <c r="L6" s="51" t="s">
        <v>12</v>
      </c>
      <c r="M6" s="3"/>
      <c r="N6" s="3"/>
      <c r="O6" s="3"/>
      <c r="P6" s="3"/>
      <c r="Q6" s="3"/>
      <c r="R6" s="3"/>
      <c r="S6" s="3"/>
      <c r="T6" s="3"/>
      <c r="X6" s="3"/>
    </row>
    <row r="7" spans="1:24" ht="16.5" customHeight="1" x14ac:dyDescent="0.35">
      <c r="B7" s="33"/>
      <c r="F7" s="23"/>
      <c r="H7" s="2"/>
      <c r="J7" s="3"/>
      <c r="K7" s="3"/>
      <c r="L7" s="51" t="s">
        <v>14</v>
      </c>
      <c r="M7" s="3"/>
      <c r="N7" s="3"/>
      <c r="O7" s="3"/>
      <c r="P7" s="3"/>
      <c r="Q7" s="3"/>
      <c r="R7" s="3"/>
      <c r="S7" s="3"/>
      <c r="T7" s="3"/>
      <c r="X7" s="3"/>
    </row>
    <row r="8" spans="1:24" s="27" customFormat="1" ht="29.5" thickBot="1" x14ac:dyDescent="0.4">
      <c r="A8" s="43"/>
      <c r="B8" s="28"/>
      <c r="C8" s="28"/>
      <c r="D8" s="47"/>
      <c r="E8" s="29" t="s">
        <v>15</v>
      </c>
      <c r="F8" s="28"/>
      <c r="G8" s="30" t="s">
        <v>16</v>
      </c>
      <c r="H8" s="31" t="s">
        <v>17</v>
      </c>
      <c r="I8" s="31" t="s">
        <v>18</v>
      </c>
      <c r="J8" s="29"/>
      <c r="K8" s="29"/>
      <c r="L8" s="29"/>
      <c r="M8" s="29"/>
      <c r="N8" s="29"/>
      <c r="O8" s="29" t="s">
        <v>19</v>
      </c>
      <c r="P8" s="29" t="s">
        <v>20</v>
      </c>
      <c r="Q8" s="29" t="s">
        <v>20</v>
      </c>
      <c r="R8" s="29" t="s">
        <v>20</v>
      </c>
      <c r="S8" s="29" t="s">
        <v>20</v>
      </c>
      <c r="T8" s="29" t="s">
        <v>20</v>
      </c>
      <c r="U8" s="32" t="s">
        <v>593</v>
      </c>
      <c r="V8" s="28" t="s">
        <v>594</v>
      </c>
    </row>
    <row r="9" spans="1:24" ht="45.75" customHeight="1" thickBot="1" x14ac:dyDescent="0.4">
      <c r="B9" s="13" t="s">
        <v>23</v>
      </c>
      <c r="C9" s="14" t="s">
        <v>24</v>
      </c>
      <c r="D9" s="14" t="s">
        <v>25</v>
      </c>
      <c r="E9" s="14" t="s">
        <v>26</v>
      </c>
      <c r="F9" s="14" t="s">
        <v>27</v>
      </c>
      <c r="G9" s="14" t="s">
        <v>28</v>
      </c>
      <c r="H9" s="14" t="s">
        <v>29</v>
      </c>
      <c r="I9" s="14" t="s">
        <v>30</v>
      </c>
      <c r="J9" s="14" t="s">
        <v>31</v>
      </c>
      <c r="K9" s="14" t="s">
        <v>32</v>
      </c>
      <c r="L9" s="14" t="s">
        <v>33</v>
      </c>
      <c r="M9" s="14" t="s">
        <v>34</v>
      </c>
      <c r="N9" s="14" t="s">
        <v>35</v>
      </c>
      <c r="O9" s="14" t="s">
        <v>36</v>
      </c>
      <c r="P9" s="14" t="s">
        <v>37</v>
      </c>
      <c r="Q9" s="14" t="s">
        <v>38</v>
      </c>
      <c r="R9" s="14" t="s">
        <v>39</v>
      </c>
      <c r="S9" s="14" t="s">
        <v>40</v>
      </c>
      <c r="T9" s="14" t="s">
        <v>41</v>
      </c>
      <c r="U9" s="14" t="s">
        <v>42</v>
      </c>
      <c r="V9" s="15" t="s">
        <v>43</v>
      </c>
    </row>
    <row r="10" spans="1:24" ht="29" x14ac:dyDescent="0.35">
      <c r="A10" s="46" t="s">
        <v>180</v>
      </c>
      <c r="B10" s="55" t="s">
        <v>45</v>
      </c>
      <c r="C10" s="10" t="s">
        <v>46</v>
      </c>
      <c r="D10" s="4" t="s">
        <v>47</v>
      </c>
      <c r="E10" s="4" t="s">
        <v>48</v>
      </c>
      <c r="F10" s="4" t="s">
        <v>61</v>
      </c>
      <c r="G10" s="4" t="s">
        <v>50</v>
      </c>
      <c r="H10" s="4" t="s">
        <v>51</v>
      </c>
      <c r="I10" s="4" t="s">
        <v>52</v>
      </c>
      <c r="J10" s="4" t="s">
        <v>53</v>
      </c>
      <c r="K10" s="4" t="s">
        <v>53</v>
      </c>
      <c r="L10" s="4" t="s">
        <v>54</v>
      </c>
      <c r="M10" s="4" t="s">
        <v>53</v>
      </c>
      <c r="N10" s="4" t="s">
        <v>53</v>
      </c>
      <c r="O10" s="4" t="s">
        <v>53</v>
      </c>
      <c r="P10" s="4" t="s">
        <v>55</v>
      </c>
      <c r="Q10" s="4" t="s">
        <v>56</v>
      </c>
      <c r="R10" s="4" t="s">
        <v>55</v>
      </c>
      <c r="S10" s="4" t="s">
        <v>55</v>
      </c>
      <c r="T10" s="4" t="s">
        <v>56</v>
      </c>
      <c r="U10" s="4" t="s">
        <v>57</v>
      </c>
      <c r="V10" s="2"/>
    </row>
    <row r="11" spans="1:24" ht="72.5" x14ac:dyDescent="0.35">
      <c r="A11" s="50"/>
      <c r="B11" s="55" t="s">
        <v>45</v>
      </c>
      <c r="C11" s="10" t="s">
        <v>58</v>
      </c>
      <c r="D11" s="4" t="s">
        <v>59</v>
      </c>
      <c r="E11" s="40" t="s">
        <v>104</v>
      </c>
      <c r="F11" s="40" t="s">
        <v>61</v>
      </c>
      <c r="G11" s="40" t="s">
        <v>62</v>
      </c>
      <c r="H11" s="40" t="s">
        <v>62</v>
      </c>
      <c r="I11" s="40" t="s">
        <v>63</v>
      </c>
      <c r="J11" s="40" t="s">
        <v>63</v>
      </c>
      <c r="K11" s="40" t="s">
        <v>53</v>
      </c>
      <c r="L11" s="40" t="s">
        <v>54</v>
      </c>
      <c r="M11" s="40" t="s">
        <v>53</v>
      </c>
      <c r="N11" s="40" t="s">
        <v>53</v>
      </c>
      <c r="O11" s="40" t="s">
        <v>53</v>
      </c>
      <c r="P11" s="40" t="s">
        <v>55</v>
      </c>
      <c r="Q11" s="40" t="s">
        <v>55</v>
      </c>
      <c r="R11" s="40" t="s">
        <v>55</v>
      </c>
      <c r="S11" s="40" t="s">
        <v>55</v>
      </c>
      <c r="T11" s="40" t="s">
        <v>55</v>
      </c>
      <c r="U11" s="40" t="s">
        <v>64</v>
      </c>
      <c r="V11" s="4" t="s">
        <v>65</v>
      </c>
      <c r="W11" s="40"/>
      <c r="X11" s="40"/>
    </row>
    <row r="12" spans="1:24" ht="58" x14ac:dyDescent="0.35">
      <c r="A12" s="50"/>
      <c r="B12" s="55" t="s">
        <v>45</v>
      </c>
      <c r="C12" s="10" t="s">
        <v>66</v>
      </c>
      <c r="D12" s="4" t="s">
        <v>67</v>
      </c>
      <c r="E12" s="40" t="s">
        <v>104</v>
      </c>
      <c r="F12" s="40" t="s">
        <v>61</v>
      </c>
      <c r="G12" s="40" t="s">
        <v>62</v>
      </c>
      <c r="H12" s="40" t="s">
        <v>62</v>
      </c>
      <c r="I12" s="40" t="s">
        <v>68</v>
      </c>
      <c r="J12" s="40" t="s">
        <v>63</v>
      </c>
      <c r="K12" s="40" t="s">
        <v>53</v>
      </c>
      <c r="L12" s="40" t="s">
        <v>69</v>
      </c>
      <c r="M12" s="40" t="s">
        <v>53</v>
      </c>
      <c r="N12" s="40" t="s">
        <v>53</v>
      </c>
      <c r="O12" s="40" t="s">
        <v>53</v>
      </c>
      <c r="P12" s="40" t="s">
        <v>55</v>
      </c>
      <c r="Q12" s="40" t="s">
        <v>55</v>
      </c>
      <c r="R12" s="40" t="s">
        <v>55</v>
      </c>
      <c r="S12" s="40" t="s">
        <v>55</v>
      </c>
      <c r="T12" s="40" t="s">
        <v>55</v>
      </c>
      <c r="U12" s="40"/>
      <c r="V12" s="4" t="s">
        <v>70</v>
      </c>
      <c r="W12" s="40"/>
      <c r="X12" s="40"/>
    </row>
    <row r="13" spans="1:24" ht="130.5" x14ac:dyDescent="0.35">
      <c r="A13" s="50"/>
      <c r="B13" s="55" t="s">
        <v>45</v>
      </c>
      <c r="C13" s="10" t="s">
        <v>71</v>
      </c>
      <c r="D13" s="4" t="s">
        <v>72</v>
      </c>
      <c r="E13" s="40" t="s">
        <v>104</v>
      </c>
      <c r="F13" s="40" t="s">
        <v>61</v>
      </c>
      <c r="G13" s="40" t="s">
        <v>73</v>
      </c>
      <c r="H13" s="40" t="s">
        <v>74</v>
      </c>
      <c r="I13" s="40" t="s">
        <v>63</v>
      </c>
      <c r="J13" s="40" t="s">
        <v>63</v>
      </c>
      <c r="K13" s="40" t="s">
        <v>53</v>
      </c>
      <c r="L13" s="40" t="s">
        <v>54</v>
      </c>
      <c r="M13" s="40" t="s">
        <v>75</v>
      </c>
      <c r="N13" s="40" t="s">
        <v>76</v>
      </c>
      <c r="O13" s="40" t="s">
        <v>53</v>
      </c>
      <c r="P13" s="40" t="s">
        <v>56</v>
      </c>
      <c r="Q13" s="40" t="s">
        <v>56</v>
      </c>
      <c r="R13" s="40" t="s">
        <v>56</v>
      </c>
      <c r="S13" s="40" t="s">
        <v>56</v>
      </c>
      <c r="T13" s="40" t="s">
        <v>56</v>
      </c>
      <c r="U13" s="40" t="s">
        <v>64</v>
      </c>
      <c r="V13" s="4"/>
      <c r="W13" s="40"/>
      <c r="X13" s="40"/>
    </row>
    <row r="14" spans="1:24" ht="101.5" x14ac:dyDescent="0.35">
      <c r="A14" s="50"/>
      <c r="B14" s="55" t="s">
        <v>45</v>
      </c>
      <c r="C14" s="10" t="s">
        <v>77</v>
      </c>
      <c r="D14" s="4" t="s">
        <v>78</v>
      </c>
      <c r="E14" s="40" t="s">
        <v>48</v>
      </c>
      <c r="F14" s="40" t="s">
        <v>61</v>
      </c>
      <c r="G14" s="40" t="s">
        <v>62</v>
      </c>
      <c r="H14" s="40" t="s">
        <v>62</v>
      </c>
      <c r="I14" s="40" t="s">
        <v>68</v>
      </c>
      <c r="J14" s="40" t="s">
        <v>79</v>
      </c>
      <c r="K14" s="40" t="s">
        <v>53</v>
      </c>
      <c r="L14" s="40" t="s">
        <v>54</v>
      </c>
      <c r="M14" s="40" t="s">
        <v>76</v>
      </c>
      <c r="N14" s="40" t="s">
        <v>53</v>
      </c>
      <c r="O14" s="40" t="s">
        <v>53</v>
      </c>
      <c r="P14" s="40" t="s">
        <v>55</v>
      </c>
      <c r="Q14" s="40" t="s">
        <v>56</v>
      </c>
      <c r="R14" s="40" t="s">
        <v>55</v>
      </c>
      <c r="S14" s="40" t="s">
        <v>55</v>
      </c>
      <c r="T14" s="40" t="s">
        <v>55</v>
      </c>
      <c r="U14" s="40"/>
      <c r="V14" s="4" t="s">
        <v>80</v>
      </c>
      <c r="W14" s="40"/>
      <c r="X14" s="40"/>
    </row>
    <row r="15" spans="1:24" ht="72.5" x14ac:dyDescent="0.35">
      <c r="A15" s="50"/>
      <c r="B15" s="55" t="s">
        <v>45</v>
      </c>
      <c r="C15" s="10" t="s">
        <v>81</v>
      </c>
      <c r="D15" s="4" t="s">
        <v>82</v>
      </c>
      <c r="E15" s="40" t="s">
        <v>48</v>
      </c>
      <c r="F15" s="40" t="s">
        <v>49</v>
      </c>
      <c r="G15" s="40" t="s">
        <v>62</v>
      </c>
      <c r="H15" s="40" t="s">
        <v>62</v>
      </c>
      <c r="I15" s="40" t="s">
        <v>52</v>
      </c>
      <c r="J15" s="40" t="s">
        <v>63</v>
      </c>
      <c r="K15" s="40" t="s">
        <v>53</v>
      </c>
      <c r="L15" s="40" t="s">
        <v>69</v>
      </c>
      <c r="M15" s="40" t="s">
        <v>76</v>
      </c>
      <c r="N15" s="40" t="s">
        <v>53</v>
      </c>
      <c r="O15" s="40" t="s">
        <v>53</v>
      </c>
      <c r="P15" s="40" t="s">
        <v>55</v>
      </c>
      <c r="Q15" s="40" t="s">
        <v>56</v>
      </c>
      <c r="R15" s="40" t="s">
        <v>56</v>
      </c>
      <c r="S15" s="40" t="s">
        <v>55</v>
      </c>
      <c r="T15" s="40" t="s">
        <v>56</v>
      </c>
      <c r="U15" s="40" t="s">
        <v>83</v>
      </c>
      <c r="V15" s="4" t="s">
        <v>84</v>
      </c>
      <c r="W15" s="40"/>
      <c r="X15" s="40"/>
    </row>
    <row r="16" spans="1:24" ht="58" x14ac:dyDescent="0.35">
      <c r="A16" s="50"/>
      <c r="B16" s="55" t="s">
        <v>45</v>
      </c>
      <c r="C16" s="10" t="s">
        <v>85</v>
      </c>
      <c r="D16" s="4" t="s">
        <v>86</v>
      </c>
      <c r="E16" s="40" t="s">
        <v>87</v>
      </c>
      <c r="F16" s="40" t="s">
        <v>61</v>
      </c>
      <c r="G16" s="40" t="s">
        <v>62</v>
      </c>
      <c r="H16" s="40" t="s">
        <v>62</v>
      </c>
      <c r="I16" s="40" t="s">
        <v>63</v>
      </c>
      <c r="J16" s="40" t="s">
        <v>63</v>
      </c>
      <c r="K16" s="40" t="s">
        <v>63</v>
      </c>
      <c r="L16" s="40" t="s">
        <v>54</v>
      </c>
      <c r="M16" s="40" t="s">
        <v>76</v>
      </c>
      <c r="N16" s="40" t="s">
        <v>53</v>
      </c>
      <c r="O16" s="40" t="s">
        <v>53</v>
      </c>
      <c r="P16" s="40" t="s">
        <v>55</v>
      </c>
      <c r="Q16" s="40" t="s">
        <v>56</v>
      </c>
      <c r="R16" s="40" t="s">
        <v>55</v>
      </c>
      <c r="S16" s="40" t="s">
        <v>55</v>
      </c>
      <c r="T16" s="40" t="s">
        <v>56</v>
      </c>
      <c r="U16" s="40"/>
      <c r="V16" s="4" t="s">
        <v>88</v>
      </c>
      <c r="W16" s="40"/>
      <c r="X16" s="40"/>
    </row>
    <row r="17" spans="1:24" ht="29" x14ac:dyDescent="0.35">
      <c r="A17" s="46" t="s">
        <v>180</v>
      </c>
      <c r="B17" s="54" t="s">
        <v>95</v>
      </c>
      <c r="C17" s="10" t="s">
        <v>96</v>
      </c>
      <c r="D17" s="2" t="s">
        <v>97</v>
      </c>
      <c r="E17" s="4" t="s">
        <v>104</v>
      </c>
      <c r="F17" s="4" t="s">
        <v>61</v>
      </c>
      <c r="G17" s="4" t="s">
        <v>98</v>
      </c>
      <c r="H17" s="4" t="s">
        <v>99</v>
      </c>
      <c r="I17" s="4" t="s">
        <v>52</v>
      </c>
      <c r="J17" s="4" t="s">
        <v>52</v>
      </c>
      <c r="K17" s="4" t="s">
        <v>52</v>
      </c>
      <c r="L17" s="4" t="s">
        <v>69</v>
      </c>
      <c r="M17" s="4" t="s">
        <v>76</v>
      </c>
      <c r="N17" s="4" t="s">
        <v>53</v>
      </c>
      <c r="O17" s="4" t="s">
        <v>53</v>
      </c>
      <c r="P17" s="4"/>
      <c r="Q17" s="4" t="s">
        <v>55</v>
      </c>
      <c r="R17" s="4" t="s">
        <v>55</v>
      </c>
      <c r="S17" s="4" t="s">
        <v>56</v>
      </c>
      <c r="T17" s="4" t="s">
        <v>55</v>
      </c>
      <c r="U17" s="4"/>
      <c r="V17" s="2"/>
    </row>
    <row r="18" spans="1:24" ht="60" customHeight="1" x14ac:dyDescent="0.35">
      <c r="A18" s="50"/>
      <c r="B18" s="54" t="s">
        <v>95</v>
      </c>
      <c r="C18" s="10" t="s">
        <v>100</v>
      </c>
      <c r="D18" s="4" t="s">
        <v>101</v>
      </c>
      <c r="E18" s="40" t="s">
        <v>48</v>
      </c>
      <c r="F18" s="40" t="s">
        <v>49</v>
      </c>
      <c r="G18" s="40" t="s">
        <v>62</v>
      </c>
      <c r="H18" s="40" t="s">
        <v>62</v>
      </c>
      <c r="I18" s="40" t="s">
        <v>63</v>
      </c>
      <c r="J18" s="40" t="s">
        <v>52</v>
      </c>
      <c r="K18" s="40" t="s">
        <v>52</v>
      </c>
      <c r="L18" s="40" t="s">
        <v>69</v>
      </c>
      <c r="M18" s="40" t="s">
        <v>53</v>
      </c>
      <c r="N18" s="40" t="s">
        <v>53</v>
      </c>
      <c r="O18" s="40" t="s">
        <v>53</v>
      </c>
      <c r="P18" s="40" t="s">
        <v>55</v>
      </c>
      <c r="Q18" s="40" t="s">
        <v>56</v>
      </c>
      <c r="R18" s="40" t="s">
        <v>56</v>
      </c>
      <c r="S18" s="40" t="s">
        <v>56</v>
      </c>
      <c r="T18" s="40" t="s">
        <v>56</v>
      </c>
      <c r="U18" s="40"/>
      <c r="V18" s="4"/>
      <c r="W18" s="40"/>
      <c r="X18" s="40"/>
    </row>
    <row r="19" spans="1:24" ht="29" x14ac:dyDescent="0.35">
      <c r="A19" s="50"/>
      <c r="B19" s="54" t="s">
        <v>95</v>
      </c>
      <c r="C19" s="10" t="s">
        <v>102</v>
      </c>
      <c r="D19" s="4" t="s">
        <v>103</v>
      </c>
      <c r="E19" s="40" t="s">
        <v>104</v>
      </c>
      <c r="F19" s="40" t="s">
        <v>61</v>
      </c>
      <c r="G19" s="40" t="s">
        <v>62</v>
      </c>
      <c r="H19" s="40" t="s">
        <v>62</v>
      </c>
      <c r="I19" s="40" t="s">
        <v>63</v>
      </c>
      <c r="J19" s="40" t="s">
        <v>52</v>
      </c>
      <c r="K19" s="40" t="s">
        <v>52</v>
      </c>
      <c r="L19" s="40" t="s">
        <v>54</v>
      </c>
      <c r="M19" s="40" t="s">
        <v>53</v>
      </c>
      <c r="N19" s="40" t="s">
        <v>53</v>
      </c>
      <c r="O19" s="40" t="s">
        <v>53</v>
      </c>
      <c r="P19" s="40" t="s">
        <v>55</v>
      </c>
      <c r="Q19" s="40" t="s">
        <v>55</v>
      </c>
      <c r="R19" s="40" t="s">
        <v>56</v>
      </c>
      <c r="S19" s="40" t="s">
        <v>56</v>
      </c>
      <c r="T19" s="40" t="s">
        <v>55</v>
      </c>
      <c r="U19" s="40"/>
      <c r="V19" s="4"/>
      <c r="W19" s="40"/>
      <c r="X19" s="40"/>
    </row>
    <row r="20" spans="1:24" ht="29" x14ac:dyDescent="0.35">
      <c r="A20" s="50"/>
      <c r="B20" s="54" t="s">
        <v>95</v>
      </c>
      <c r="C20" s="10" t="s">
        <v>105</v>
      </c>
      <c r="D20" s="4" t="s">
        <v>106</v>
      </c>
      <c r="E20" s="40" t="s">
        <v>104</v>
      </c>
      <c r="F20" s="40" t="s">
        <v>61</v>
      </c>
      <c r="G20" s="40" t="s">
        <v>50</v>
      </c>
      <c r="H20" s="40" t="s">
        <v>107</v>
      </c>
      <c r="I20" s="40" t="s">
        <v>63</v>
      </c>
      <c r="J20" s="40" t="s">
        <v>63</v>
      </c>
      <c r="K20" s="40" t="s">
        <v>52</v>
      </c>
      <c r="L20" s="40" t="s">
        <v>54</v>
      </c>
      <c r="M20" s="40" t="s">
        <v>53</v>
      </c>
      <c r="N20" s="40" t="s">
        <v>53</v>
      </c>
      <c r="O20" s="40" t="s">
        <v>53</v>
      </c>
      <c r="P20" s="40" t="s">
        <v>55</v>
      </c>
      <c r="Q20" s="40" t="s">
        <v>55</v>
      </c>
      <c r="R20" s="40" t="s">
        <v>56</v>
      </c>
      <c r="S20" s="40" t="s">
        <v>56</v>
      </c>
      <c r="T20" s="40" t="s">
        <v>55</v>
      </c>
      <c r="U20" s="40"/>
      <c r="V20" s="4"/>
      <c r="W20" s="40"/>
      <c r="X20" s="40"/>
    </row>
    <row r="21" spans="1:24" ht="58" x14ac:dyDescent="0.35">
      <c r="A21" s="50"/>
      <c r="B21" s="54" t="s">
        <v>95</v>
      </c>
      <c r="C21" s="10" t="s">
        <v>108</v>
      </c>
      <c r="D21" s="4" t="s">
        <v>595</v>
      </c>
      <c r="E21" s="40" t="s">
        <v>104</v>
      </c>
      <c r="F21" s="40" t="s">
        <v>49</v>
      </c>
      <c r="G21" s="40" t="s">
        <v>98</v>
      </c>
      <c r="H21" s="40" t="s">
        <v>99</v>
      </c>
      <c r="I21" s="40" t="s">
        <v>52</v>
      </c>
      <c r="J21" s="40" t="s">
        <v>52</v>
      </c>
      <c r="K21" s="40" t="s">
        <v>52</v>
      </c>
      <c r="L21" s="40" t="s">
        <v>110</v>
      </c>
      <c r="M21" s="40" t="s">
        <v>76</v>
      </c>
      <c r="N21" s="40" t="s">
        <v>53</v>
      </c>
      <c r="O21" s="40" t="s">
        <v>53</v>
      </c>
      <c r="P21" s="40" t="s">
        <v>55</v>
      </c>
      <c r="Q21" s="40" t="s">
        <v>55</v>
      </c>
      <c r="R21" s="40" t="s">
        <v>56</v>
      </c>
      <c r="S21" s="40" t="s">
        <v>56</v>
      </c>
      <c r="T21" s="40" t="s">
        <v>56</v>
      </c>
      <c r="U21" s="40"/>
      <c r="V21" s="4"/>
      <c r="W21" s="40"/>
      <c r="X21" s="40"/>
    </row>
    <row r="22" spans="1:24" ht="60" customHeight="1" x14ac:dyDescent="0.35">
      <c r="A22" s="50"/>
      <c r="B22" s="54" t="s">
        <v>95</v>
      </c>
      <c r="C22" s="10" t="s">
        <v>111</v>
      </c>
      <c r="D22" s="4" t="s">
        <v>112</v>
      </c>
      <c r="E22" s="40" t="s">
        <v>104</v>
      </c>
      <c r="F22" s="40" t="s">
        <v>49</v>
      </c>
      <c r="G22" s="40" t="s">
        <v>50</v>
      </c>
      <c r="H22" s="40" t="s">
        <v>99</v>
      </c>
      <c r="I22" s="40" t="s">
        <v>63</v>
      </c>
      <c r="J22" s="40" t="s">
        <v>52</v>
      </c>
      <c r="K22" s="40" t="s">
        <v>63</v>
      </c>
      <c r="L22" s="40" t="s">
        <v>54</v>
      </c>
      <c r="M22" s="40" t="s">
        <v>53</v>
      </c>
      <c r="N22" s="40" t="s">
        <v>53</v>
      </c>
      <c r="O22" s="40" t="s">
        <v>53</v>
      </c>
      <c r="P22" s="40" t="s">
        <v>55</v>
      </c>
      <c r="Q22" s="40" t="s">
        <v>55</v>
      </c>
      <c r="R22" s="40" t="s">
        <v>55</v>
      </c>
      <c r="S22" s="40" t="s">
        <v>56</v>
      </c>
      <c r="T22" s="40" t="s">
        <v>55</v>
      </c>
      <c r="U22" s="40"/>
      <c r="V22" s="4"/>
      <c r="W22" s="40"/>
      <c r="X22" s="40"/>
    </row>
    <row r="23" spans="1:24" ht="43.5" x14ac:dyDescent="0.35">
      <c r="A23" s="50"/>
      <c r="B23" s="54" t="s">
        <v>95</v>
      </c>
      <c r="C23" s="10" t="s">
        <v>113</v>
      </c>
      <c r="D23" s="4" t="s">
        <v>114</v>
      </c>
      <c r="E23" s="40" t="s">
        <v>104</v>
      </c>
      <c r="F23" s="40" t="s">
        <v>49</v>
      </c>
      <c r="G23" s="40" t="s">
        <v>62</v>
      </c>
      <c r="H23" s="40" t="s">
        <v>115</v>
      </c>
      <c r="I23" s="40" t="s">
        <v>79</v>
      </c>
      <c r="J23" s="40" t="s">
        <v>52</v>
      </c>
      <c r="K23" s="40" t="s">
        <v>63</v>
      </c>
      <c r="L23" s="40" t="s">
        <v>110</v>
      </c>
      <c r="M23" s="40" t="s">
        <v>76</v>
      </c>
      <c r="N23" s="40" t="s">
        <v>53</v>
      </c>
      <c r="O23" s="40" t="s">
        <v>53</v>
      </c>
      <c r="P23" s="40" t="s">
        <v>55</v>
      </c>
      <c r="Q23" s="40" t="s">
        <v>55</v>
      </c>
      <c r="R23" s="40" t="s">
        <v>56</v>
      </c>
      <c r="S23" s="40" t="s">
        <v>56</v>
      </c>
      <c r="T23" s="40" t="s">
        <v>56</v>
      </c>
      <c r="U23" s="40"/>
      <c r="V23" s="4"/>
      <c r="W23" s="40"/>
      <c r="X23" s="40"/>
    </row>
    <row r="24" spans="1:24" ht="29" x14ac:dyDescent="0.35">
      <c r="A24" s="46" t="s">
        <v>180</v>
      </c>
      <c r="B24" s="54" t="s">
        <v>95</v>
      </c>
      <c r="C24" s="10" t="s">
        <v>116</v>
      </c>
      <c r="D24" s="4" t="s">
        <v>117</v>
      </c>
      <c r="E24" s="40" t="s">
        <v>104</v>
      </c>
      <c r="F24" s="40" t="s">
        <v>49</v>
      </c>
      <c r="G24" s="40" t="s">
        <v>50</v>
      </c>
      <c r="H24" s="40" t="s">
        <v>107</v>
      </c>
      <c r="I24" s="40" t="s">
        <v>63</v>
      </c>
      <c r="J24" s="40" t="s">
        <v>63</v>
      </c>
      <c r="K24" s="40" t="s">
        <v>52</v>
      </c>
      <c r="L24" s="40" t="s">
        <v>69</v>
      </c>
      <c r="M24" s="40" t="s">
        <v>76</v>
      </c>
      <c r="N24" s="40" t="s">
        <v>53</v>
      </c>
      <c r="O24" s="40" t="s">
        <v>53</v>
      </c>
      <c r="P24" s="40"/>
      <c r="Q24" s="40" t="s">
        <v>55</v>
      </c>
      <c r="R24" s="40" t="s">
        <v>55</v>
      </c>
      <c r="S24" s="40" t="s">
        <v>56</v>
      </c>
      <c r="T24" s="40" t="s">
        <v>56</v>
      </c>
      <c r="U24" s="40"/>
      <c r="V24" s="4"/>
      <c r="W24" s="40"/>
      <c r="X24" s="40"/>
    </row>
    <row r="25" spans="1:24" ht="58" x14ac:dyDescent="0.35">
      <c r="A25" s="50"/>
      <c r="B25" s="54" t="s">
        <v>95</v>
      </c>
      <c r="C25" s="10" t="s">
        <v>118</v>
      </c>
      <c r="D25" s="4" t="s">
        <v>119</v>
      </c>
      <c r="E25" s="40" t="s">
        <v>104</v>
      </c>
      <c r="F25" s="40" t="s">
        <v>61</v>
      </c>
      <c r="G25" s="40" t="s">
        <v>62</v>
      </c>
      <c r="H25" s="40" t="s">
        <v>62</v>
      </c>
      <c r="I25" s="40" t="s">
        <v>68</v>
      </c>
      <c r="J25" s="40" t="s">
        <v>52</v>
      </c>
      <c r="K25" s="40" t="s">
        <v>79</v>
      </c>
      <c r="L25" s="40" t="s">
        <v>54</v>
      </c>
      <c r="M25" s="40" t="s">
        <v>53</v>
      </c>
      <c r="N25" s="40" t="s">
        <v>53</v>
      </c>
      <c r="O25" s="40" t="s">
        <v>53</v>
      </c>
      <c r="P25" s="40" t="s">
        <v>55</v>
      </c>
      <c r="Q25" s="40" t="s">
        <v>55</v>
      </c>
      <c r="R25" s="40" t="s">
        <v>55</v>
      </c>
      <c r="S25" s="40" t="s">
        <v>56</v>
      </c>
      <c r="T25" s="40" t="s">
        <v>55</v>
      </c>
      <c r="U25" s="40"/>
      <c r="V25" s="4"/>
      <c r="W25" s="40"/>
      <c r="X25" s="40"/>
    </row>
    <row r="26" spans="1:24" x14ac:dyDescent="0.35">
      <c r="A26" s="50"/>
      <c r="B26" s="54" t="s">
        <v>95</v>
      </c>
      <c r="C26" s="10" t="s">
        <v>120</v>
      </c>
      <c r="D26" s="4" t="s">
        <v>121</v>
      </c>
      <c r="E26" s="40" t="s">
        <v>104</v>
      </c>
      <c r="F26" s="40" t="s">
        <v>61</v>
      </c>
      <c r="G26" s="40" t="s">
        <v>62</v>
      </c>
      <c r="H26" s="40" t="s">
        <v>115</v>
      </c>
      <c r="I26" s="40" t="s">
        <v>63</v>
      </c>
      <c r="J26" s="40" t="s">
        <v>52</v>
      </c>
      <c r="K26" s="40" t="s">
        <v>52</v>
      </c>
      <c r="L26" s="40" t="s">
        <v>69</v>
      </c>
      <c r="M26" s="40" t="s">
        <v>76</v>
      </c>
      <c r="N26" s="40" t="s">
        <v>53</v>
      </c>
      <c r="O26" s="40" t="s">
        <v>53</v>
      </c>
      <c r="P26" s="40" t="s">
        <v>55</v>
      </c>
      <c r="Q26" s="40" t="s">
        <v>55</v>
      </c>
      <c r="R26" s="40" t="s">
        <v>55</v>
      </c>
      <c r="S26" s="40" t="s">
        <v>56</v>
      </c>
      <c r="T26" s="40" t="s">
        <v>55</v>
      </c>
      <c r="U26" s="40"/>
      <c r="V26" s="4"/>
      <c r="W26" s="40"/>
      <c r="X26" s="40"/>
    </row>
    <row r="27" spans="1:24" x14ac:dyDescent="0.35">
      <c r="A27" s="50"/>
      <c r="B27" s="54" t="s">
        <v>95</v>
      </c>
      <c r="C27" s="10" t="s">
        <v>122</v>
      </c>
      <c r="D27" s="4" t="s">
        <v>123</v>
      </c>
      <c r="E27" s="40" t="s">
        <v>104</v>
      </c>
      <c r="F27" s="40" t="s">
        <v>49</v>
      </c>
      <c r="G27" s="40" t="s">
        <v>62</v>
      </c>
      <c r="H27" s="40" t="s">
        <v>107</v>
      </c>
      <c r="I27" s="40" t="s">
        <v>63</v>
      </c>
      <c r="J27" s="40" t="s">
        <v>52</v>
      </c>
      <c r="K27" s="40" t="s">
        <v>52</v>
      </c>
      <c r="L27" s="40" t="s">
        <v>69</v>
      </c>
      <c r="M27" s="40" t="s">
        <v>76</v>
      </c>
      <c r="N27" s="40" t="s">
        <v>53</v>
      </c>
      <c r="O27" s="40" t="s">
        <v>53</v>
      </c>
      <c r="P27" s="40" t="s">
        <v>55</v>
      </c>
      <c r="Q27" s="40" t="s">
        <v>55</v>
      </c>
      <c r="R27" s="40" t="s">
        <v>55</v>
      </c>
      <c r="S27" s="40" t="s">
        <v>56</v>
      </c>
      <c r="T27" s="40" t="s">
        <v>55</v>
      </c>
      <c r="U27" s="40"/>
      <c r="V27" s="4"/>
      <c r="W27" s="40"/>
      <c r="X27" s="40"/>
    </row>
    <row r="28" spans="1:24" ht="29" x14ac:dyDescent="0.35">
      <c r="A28" s="50"/>
      <c r="B28" s="54" t="s">
        <v>95</v>
      </c>
      <c r="C28" s="10" t="s">
        <v>124</v>
      </c>
      <c r="D28" s="4" t="s">
        <v>125</v>
      </c>
      <c r="E28" s="40" t="s">
        <v>48</v>
      </c>
      <c r="F28" s="40" t="s">
        <v>61</v>
      </c>
      <c r="G28" s="40" t="s">
        <v>62</v>
      </c>
      <c r="H28" s="40" t="s">
        <v>62</v>
      </c>
      <c r="I28" s="40" t="s">
        <v>68</v>
      </c>
      <c r="J28" s="40" t="s">
        <v>52</v>
      </c>
      <c r="K28" s="40" t="s">
        <v>79</v>
      </c>
      <c r="L28" s="40" t="s">
        <v>54</v>
      </c>
      <c r="M28" s="40" t="s">
        <v>53</v>
      </c>
      <c r="N28" s="40" t="s">
        <v>53</v>
      </c>
      <c r="O28" s="40" t="s">
        <v>53</v>
      </c>
      <c r="P28" s="40" t="s">
        <v>55</v>
      </c>
      <c r="Q28" s="40" t="s">
        <v>56</v>
      </c>
      <c r="R28" s="40" t="s">
        <v>56</v>
      </c>
      <c r="S28" s="40" t="s">
        <v>56</v>
      </c>
      <c r="T28" s="40" t="s">
        <v>56</v>
      </c>
      <c r="U28" s="40"/>
      <c r="V28" s="4"/>
      <c r="W28" s="40"/>
      <c r="X28" s="40"/>
    </row>
    <row r="29" spans="1:24" ht="43.5" x14ac:dyDescent="0.35">
      <c r="A29" s="50"/>
      <c r="B29" s="54" t="s">
        <v>95</v>
      </c>
      <c r="C29" s="10" t="s">
        <v>126</v>
      </c>
      <c r="D29" s="4" t="s">
        <v>127</v>
      </c>
      <c r="E29" s="40" t="s">
        <v>104</v>
      </c>
      <c r="F29" s="40" t="s">
        <v>61</v>
      </c>
      <c r="G29" s="40" t="s">
        <v>128</v>
      </c>
      <c r="H29" s="40" t="s">
        <v>129</v>
      </c>
      <c r="I29" s="40" t="s">
        <v>68</v>
      </c>
      <c r="J29" s="40" t="s">
        <v>52</v>
      </c>
      <c r="K29" s="40" t="s">
        <v>52</v>
      </c>
      <c r="L29" s="40" t="s">
        <v>54</v>
      </c>
      <c r="M29" s="40" t="s">
        <v>53</v>
      </c>
      <c r="N29" s="40" t="s">
        <v>53</v>
      </c>
      <c r="O29" s="40" t="s">
        <v>53</v>
      </c>
      <c r="P29" s="40" t="s">
        <v>55</v>
      </c>
      <c r="Q29" s="40" t="s">
        <v>55</v>
      </c>
      <c r="R29" s="40" t="s">
        <v>55</v>
      </c>
      <c r="S29" s="40" t="s">
        <v>56</v>
      </c>
      <c r="T29" s="40" t="s">
        <v>55</v>
      </c>
      <c r="U29" s="40"/>
      <c r="V29" s="4"/>
      <c r="W29" s="40"/>
      <c r="X29" s="40"/>
    </row>
    <row r="30" spans="1:24" ht="43.5" x14ac:dyDescent="0.35">
      <c r="A30" s="50"/>
      <c r="B30" s="54" t="s">
        <v>95</v>
      </c>
      <c r="C30" s="10" t="s">
        <v>130</v>
      </c>
      <c r="D30" s="4" t="s">
        <v>131</v>
      </c>
      <c r="E30" s="40" t="s">
        <v>104</v>
      </c>
      <c r="F30" s="40" t="s">
        <v>61</v>
      </c>
      <c r="G30" s="40" t="s">
        <v>73</v>
      </c>
      <c r="H30" s="40" t="s">
        <v>62</v>
      </c>
      <c r="I30" s="40" t="s">
        <v>63</v>
      </c>
      <c r="J30" s="40" t="s">
        <v>52</v>
      </c>
      <c r="K30" s="40" t="s">
        <v>52</v>
      </c>
      <c r="L30" s="40" t="s">
        <v>54</v>
      </c>
      <c r="M30" s="40" t="s">
        <v>53</v>
      </c>
      <c r="N30" s="40" t="s">
        <v>53</v>
      </c>
      <c r="O30" s="40" t="s">
        <v>53</v>
      </c>
      <c r="P30" s="40" t="s">
        <v>55</v>
      </c>
      <c r="Q30" s="40" t="s">
        <v>55</v>
      </c>
      <c r="R30" s="40" t="s">
        <v>55</v>
      </c>
      <c r="S30" s="40" t="s">
        <v>56</v>
      </c>
      <c r="T30" s="40" t="s">
        <v>55</v>
      </c>
      <c r="U30" s="40"/>
      <c r="V30" s="4"/>
      <c r="W30" s="40"/>
      <c r="X30" s="40"/>
    </row>
    <row r="31" spans="1:24" ht="43.5" x14ac:dyDescent="0.35">
      <c r="A31" s="50"/>
      <c r="B31" s="54" t="s">
        <v>95</v>
      </c>
      <c r="C31" s="10" t="s">
        <v>132</v>
      </c>
      <c r="D31" s="4" t="s">
        <v>133</v>
      </c>
      <c r="E31" s="40" t="s">
        <v>104</v>
      </c>
      <c r="F31" s="40" t="s">
        <v>49</v>
      </c>
      <c r="G31" s="40" t="s">
        <v>62</v>
      </c>
      <c r="H31" s="40" t="s">
        <v>62</v>
      </c>
      <c r="I31" s="40" t="s">
        <v>63</v>
      </c>
      <c r="J31" s="40" t="s">
        <v>52</v>
      </c>
      <c r="K31" s="40" t="s">
        <v>52</v>
      </c>
      <c r="L31" s="40" t="s">
        <v>69</v>
      </c>
      <c r="M31" s="40" t="s">
        <v>53</v>
      </c>
      <c r="N31" s="40" t="s">
        <v>53</v>
      </c>
      <c r="O31" s="40" t="s">
        <v>53</v>
      </c>
      <c r="P31" s="40" t="s">
        <v>55</v>
      </c>
      <c r="Q31" s="40" t="s">
        <v>55</v>
      </c>
      <c r="R31" s="40" t="s">
        <v>56</v>
      </c>
      <c r="S31" s="40" t="s">
        <v>56</v>
      </c>
      <c r="T31" s="40" t="s">
        <v>56</v>
      </c>
      <c r="U31" s="40"/>
      <c r="V31" s="4"/>
      <c r="W31" s="40"/>
      <c r="X31" s="40"/>
    </row>
    <row r="32" spans="1:24" ht="29" x14ac:dyDescent="0.35">
      <c r="A32" s="46" t="s">
        <v>180</v>
      </c>
      <c r="B32" s="56" t="s">
        <v>135</v>
      </c>
      <c r="C32" s="10" t="s">
        <v>136</v>
      </c>
      <c r="D32" s="2" t="s">
        <v>137</v>
      </c>
      <c r="E32" s="4" t="s">
        <v>48</v>
      </c>
      <c r="F32" s="4" t="s">
        <v>61</v>
      </c>
      <c r="G32" s="4" t="s">
        <v>73</v>
      </c>
      <c r="H32" s="4" t="s">
        <v>139</v>
      </c>
      <c r="I32" s="4" t="s">
        <v>63</v>
      </c>
      <c r="J32" s="4" t="s">
        <v>63</v>
      </c>
      <c r="K32" s="4" t="s">
        <v>53</v>
      </c>
      <c r="L32" s="4" t="s">
        <v>54</v>
      </c>
      <c r="M32" s="4" t="s">
        <v>76</v>
      </c>
      <c r="N32" s="4" t="s">
        <v>53</v>
      </c>
      <c r="O32" s="4" t="s">
        <v>53</v>
      </c>
      <c r="P32" s="4"/>
      <c r="Q32" s="4" t="s">
        <v>56</v>
      </c>
      <c r="R32" s="4" t="s">
        <v>55</v>
      </c>
      <c r="S32" s="4" t="s">
        <v>55</v>
      </c>
      <c r="T32" s="4" t="s">
        <v>55</v>
      </c>
      <c r="U32" s="4"/>
      <c r="V32" s="2"/>
    </row>
    <row r="33" spans="1:24" ht="43.5" x14ac:dyDescent="0.35">
      <c r="A33" s="50"/>
      <c r="B33" s="56" t="s">
        <v>135</v>
      </c>
      <c r="C33" s="10" t="s">
        <v>140</v>
      </c>
      <c r="D33" s="4" t="s">
        <v>141</v>
      </c>
      <c r="E33" s="40" t="s">
        <v>48</v>
      </c>
      <c r="F33" s="40" t="s">
        <v>61</v>
      </c>
      <c r="G33" s="40" t="s">
        <v>73</v>
      </c>
      <c r="H33" s="40"/>
      <c r="I33" s="40" t="s">
        <v>63</v>
      </c>
      <c r="J33" s="40" t="s">
        <v>63</v>
      </c>
      <c r="K33" s="40" t="s">
        <v>53</v>
      </c>
      <c r="L33" s="40" t="s">
        <v>54</v>
      </c>
      <c r="M33" s="40" t="s">
        <v>76</v>
      </c>
      <c r="N33" s="40" t="s">
        <v>53</v>
      </c>
      <c r="O33" s="40" t="s">
        <v>53</v>
      </c>
      <c r="P33" s="40" t="s">
        <v>55</v>
      </c>
      <c r="Q33" s="40" t="s">
        <v>56</v>
      </c>
      <c r="R33" s="40" t="s">
        <v>56</v>
      </c>
      <c r="S33" s="40" t="s">
        <v>55</v>
      </c>
      <c r="T33" s="40" t="s">
        <v>55</v>
      </c>
      <c r="U33" s="40"/>
      <c r="V33" s="4"/>
      <c r="W33" s="40"/>
      <c r="X33" s="40"/>
    </row>
    <row r="34" spans="1:24" x14ac:dyDescent="0.35">
      <c r="A34" s="50"/>
      <c r="B34" s="56" t="s">
        <v>135</v>
      </c>
      <c r="C34" s="10" t="s">
        <v>142</v>
      </c>
      <c r="D34" s="4" t="s">
        <v>143</v>
      </c>
      <c r="E34" s="40" t="s">
        <v>48</v>
      </c>
      <c r="F34" s="40" t="s">
        <v>61</v>
      </c>
      <c r="G34" s="40" t="s">
        <v>73</v>
      </c>
      <c r="H34" s="40"/>
      <c r="I34" s="40" t="s">
        <v>63</v>
      </c>
      <c r="J34" s="40" t="s">
        <v>63</v>
      </c>
      <c r="K34" s="40" t="s">
        <v>53</v>
      </c>
      <c r="L34" s="40" t="s">
        <v>54</v>
      </c>
      <c r="M34" s="40" t="s">
        <v>76</v>
      </c>
      <c r="N34" s="40" t="s">
        <v>53</v>
      </c>
      <c r="O34" s="40" t="s">
        <v>53</v>
      </c>
      <c r="P34" s="40" t="s">
        <v>55</v>
      </c>
      <c r="Q34" s="40" t="s">
        <v>56</v>
      </c>
      <c r="R34" s="40" t="s">
        <v>55</v>
      </c>
      <c r="S34" s="40" t="s">
        <v>55</v>
      </c>
      <c r="T34" s="40" t="s">
        <v>55</v>
      </c>
      <c r="U34" s="40"/>
      <c r="V34" s="4"/>
      <c r="W34" s="40"/>
      <c r="X34" s="40"/>
    </row>
    <row r="35" spans="1:24" ht="45" customHeight="1" x14ac:dyDescent="0.35">
      <c r="A35" s="50"/>
      <c r="B35" s="56" t="s">
        <v>135</v>
      </c>
      <c r="C35" s="10" t="s">
        <v>144</v>
      </c>
      <c r="D35" s="4" t="s">
        <v>145</v>
      </c>
      <c r="E35" s="40" t="s">
        <v>104</v>
      </c>
      <c r="F35" s="40" t="s">
        <v>49</v>
      </c>
      <c r="G35" s="40" t="s">
        <v>73</v>
      </c>
      <c r="H35" s="40"/>
      <c r="I35" s="40" t="s">
        <v>52</v>
      </c>
      <c r="J35" s="40" t="s">
        <v>63</v>
      </c>
      <c r="K35" s="40" t="s">
        <v>53</v>
      </c>
      <c r="L35" s="40" t="s">
        <v>69</v>
      </c>
      <c r="M35" s="40" t="s">
        <v>76</v>
      </c>
      <c r="N35" s="40" t="s">
        <v>53</v>
      </c>
      <c r="O35" s="40" t="s">
        <v>53</v>
      </c>
      <c r="P35" s="40" t="s">
        <v>56</v>
      </c>
      <c r="Q35" s="40" t="s">
        <v>55</v>
      </c>
      <c r="R35" s="40" t="s">
        <v>55</v>
      </c>
      <c r="S35" s="40" t="s">
        <v>55</v>
      </c>
      <c r="T35" s="40" t="s">
        <v>56</v>
      </c>
      <c r="U35" s="40" t="s">
        <v>146</v>
      </c>
      <c r="V35" s="4"/>
      <c r="W35" s="40"/>
      <c r="X35" s="40"/>
    </row>
    <row r="36" spans="1:24" ht="58" x14ac:dyDescent="0.35">
      <c r="A36" s="50"/>
      <c r="B36" s="56" t="s">
        <v>135</v>
      </c>
      <c r="C36" s="10" t="s">
        <v>147</v>
      </c>
      <c r="D36" s="4" t="s">
        <v>148</v>
      </c>
      <c r="E36" s="40" t="s">
        <v>104</v>
      </c>
      <c r="F36" s="40" t="s">
        <v>49</v>
      </c>
      <c r="G36" s="40" t="s">
        <v>73</v>
      </c>
      <c r="H36" s="40"/>
      <c r="I36" s="40" t="s">
        <v>52</v>
      </c>
      <c r="J36" s="40" t="s">
        <v>63</v>
      </c>
      <c r="K36" s="40" t="s">
        <v>53</v>
      </c>
      <c r="L36" s="40" t="s">
        <v>69</v>
      </c>
      <c r="M36" s="40" t="s">
        <v>76</v>
      </c>
      <c r="N36" s="40" t="s">
        <v>53</v>
      </c>
      <c r="O36" s="40" t="s">
        <v>53</v>
      </c>
      <c r="P36" s="40" t="s">
        <v>56</v>
      </c>
      <c r="Q36" s="40" t="s">
        <v>55</v>
      </c>
      <c r="R36" s="40" t="s">
        <v>55</v>
      </c>
      <c r="S36" s="40" t="s">
        <v>55</v>
      </c>
      <c r="T36" s="40" t="s">
        <v>56</v>
      </c>
      <c r="U36" s="40" t="s">
        <v>146</v>
      </c>
      <c r="V36" s="4"/>
      <c r="W36" s="40"/>
      <c r="X36" s="40"/>
    </row>
    <row r="37" spans="1:24" ht="72.5" x14ac:dyDescent="0.35">
      <c r="A37" s="50"/>
      <c r="B37" s="56" t="s">
        <v>135</v>
      </c>
      <c r="C37" s="10" t="s">
        <v>149</v>
      </c>
      <c r="D37" s="4" t="s">
        <v>150</v>
      </c>
      <c r="E37" s="40" t="s">
        <v>151</v>
      </c>
      <c r="F37" s="40" t="s">
        <v>61</v>
      </c>
      <c r="G37" s="40" t="s">
        <v>62</v>
      </c>
      <c r="H37" s="40" t="s">
        <v>139</v>
      </c>
      <c r="I37" s="40" t="s">
        <v>63</v>
      </c>
      <c r="J37" s="40" t="s">
        <v>53</v>
      </c>
      <c r="K37" s="40" t="s">
        <v>53</v>
      </c>
      <c r="L37" s="40" t="s">
        <v>54</v>
      </c>
      <c r="M37" s="40" t="s">
        <v>76</v>
      </c>
      <c r="N37" s="40" t="s">
        <v>53</v>
      </c>
      <c r="O37" s="40" t="s">
        <v>53</v>
      </c>
      <c r="P37" s="40" t="s">
        <v>55</v>
      </c>
      <c r="Q37" s="40" t="s">
        <v>56</v>
      </c>
      <c r="R37" s="40" t="s">
        <v>55</v>
      </c>
      <c r="S37" s="40" t="s">
        <v>55</v>
      </c>
      <c r="T37" s="40" t="s">
        <v>55</v>
      </c>
      <c r="U37" s="40"/>
      <c r="V37" s="4"/>
      <c r="W37" s="40"/>
      <c r="X37" s="40"/>
    </row>
    <row r="38" spans="1:24" ht="29" x14ac:dyDescent="0.35">
      <c r="A38" s="46" t="s">
        <v>180</v>
      </c>
      <c r="B38" s="57" t="s">
        <v>153</v>
      </c>
      <c r="C38" s="10" t="s">
        <v>154</v>
      </c>
      <c r="D38" s="2" t="s">
        <v>155</v>
      </c>
      <c r="E38" s="4" t="s">
        <v>104</v>
      </c>
      <c r="F38" s="4" t="s">
        <v>61</v>
      </c>
      <c r="G38" s="9" t="s">
        <v>62</v>
      </c>
      <c r="H38" s="9" t="s">
        <v>62</v>
      </c>
      <c r="I38" s="9" t="s">
        <v>79</v>
      </c>
      <c r="J38" s="9" t="s">
        <v>79</v>
      </c>
      <c r="K38" s="9" t="s">
        <v>79</v>
      </c>
      <c r="L38" s="9" t="s">
        <v>69</v>
      </c>
      <c r="M38" s="9" t="s">
        <v>75</v>
      </c>
      <c r="N38" s="9" t="s">
        <v>75</v>
      </c>
      <c r="O38" s="9" t="s">
        <v>79</v>
      </c>
      <c r="P38" s="9"/>
      <c r="Q38" s="9" t="s">
        <v>56</v>
      </c>
      <c r="R38" s="9" t="s">
        <v>56</v>
      </c>
      <c r="S38" s="9" t="s">
        <v>56</v>
      </c>
      <c r="T38" s="9" t="s">
        <v>56</v>
      </c>
      <c r="U38" s="4"/>
      <c r="V38" s="2"/>
    </row>
    <row r="39" spans="1:24" ht="45" customHeight="1" x14ac:dyDescent="0.35">
      <c r="A39" s="46" t="s">
        <v>180</v>
      </c>
      <c r="B39" s="57" t="s">
        <v>153</v>
      </c>
      <c r="C39" s="10" t="s">
        <v>158</v>
      </c>
      <c r="D39" s="2" t="s">
        <v>159</v>
      </c>
      <c r="E39" s="4" t="s">
        <v>48</v>
      </c>
      <c r="F39" s="4" t="s">
        <v>49</v>
      </c>
      <c r="G39" s="9" t="s">
        <v>50</v>
      </c>
      <c r="H39" s="9" t="s">
        <v>160</v>
      </c>
      <c r="I39" s="9" t="s">
        <v>79</v>
      </c>
      <c r="J39" s="9" t="s">
        <v>52</v>
      </c>
      <c r="K39" s="9" t="s">
        <v>52</v>
      </c>
      <c r="L39" s="9" t="s">
        <v>110</v>
      </c>
      <c r="M39" s="9" t="s">
        <v>76</v>
      </c>
      <c r="N39" s="9" t="s">
        <v>76</v>
      </c>
      <c r="O39" s="9" t="s">
        <v>52</v>
      </c>
      <c r="P39" s="9"/>
      <c r="Q39" s="9" t="s">
        <v>56</v>
      </c>
      <c r="R39" s="9" t="s">
        <v>56</v>
      </c>
      <c r="S39" s="9" t="s">
        <v>55</v>
      </c>
      <c r="T39" s="9" t="s">
        <v>55</v>
      </c>
      <c r="U39" s="2"/>
      <c r="V39" s="2"/>
    </row>
    <row r="40" spans="1:24" ht="58" x14ac:dyDescent="0.35">
      <c r="A40" s="46" t="s">
        <v>180</v>
      </c>
      <c r="B40" s="57" t="s">
        <v>153</v>
      </c>
      <c r="C40" s="10" t="s">
        <v>161</v>
      </c>
      <c r="D40" s="4" t="s">
        <v>162</v>
      </c>
      <c r="E40" s="4" t="s">
        <v>104</v>
      </c>
      <c r="F40" s="4" t="s">
        <v>61</v>
      </c>
      <c r="G40" s="9" t="s">
        <v>74</v>
      </c>
      <c r="H40" s="9" t="s">
        <v>74</v>
      </c>
      <c r="I40" s="9" t="s">
        <v>63</v>
      </c>
      <c r="J40" s="9" t="s">
        <v>52</v>
      </c>
      <c r="K40" s="9" t="s">
        <v>79</v>
      </c>
      <c r="L40" s="9" t="s">
        <v>69</v>
      </c>
      <c r="M40" s="9" t="s">
        <v>75</v>
      </c>
      <c r="N40" s="9" t="s">
        <v>75</v>
      </c>
      <c r="O40" s="9" t="s">
        <v>79</v>
      </c>
      <c r="P40" s="9"/>
      <c r="Q40" s="9" t="s">
        <v>56</v>
      </c>
      <c r="R40" s="9" t="s">
        <v>56</v>
      </c>
      <c r="S40" s="9" t="s">
        <v>56</v>
      </c>
      <c r="T40" s="9" t="s">
        <v>56</v>
      </c>
      <c r="U40" s="2"/>
      <c r="V40" s="4" t="s">
        <v>163</v>
      </c>
    </row>
    <row r="41" spans="1:24" ht="29" x14ac:dyDescent="0.35">
      <c r="B41" s="57" t="s">
        <v>153</v>
      </c>
      <c r="C41" s="10" t="s">
        <v>164</v>
      </c>
      <c r="D41" s="2" t="s">
        <v>165</v>
      </c>
      <c r="E41" s="2" t="s">
        <v>48</v>
      </c>
      <c r="F41" s="2" t="s">
        <v>61</v>
      </c>
      <c r="G41" t="s">
        <v>62</v>
      </c>
      <c r="H41" t="s">
        <v>62</v>
      </c>
      <c r="I41" t="s">
        <v>79</v>
      </c>
      <c r="J41" t="s">
        <v>79</v>
      </c>
      <c r="K41" t="s">
        <v>52</v>
      </c>
      <c r="L41" t="s">
        <v>110</v>
      </c>
      <c r="M41" t="s">
        <v>75</v>
      </c>
      <c r="N41" t="s">
        <v>75</v>
      </c>
      <c r="O41" t="s">
        <v>79</v>
      </c>
      <c r="P41" t="s">
        <v>56</v>
      </c>
      <c r="Q41" t="s">
        <v>56</v>
      </c>
      <c r="R41" t="s">
        <v>56</v>
      </c>
      <c r="S41" t="s">
        <v>55</v>
      </c>
      <c r="T41" t="s">
        <v>55</v>
      </c>
      <c r="U41" s="2"/>
      <c r="V41" s="2"/>
    </row>
    <row r="42" spans="1:24" ht="29" x14ac:dyDescent="0.35">
      <c r="A42" s="42" t="s">
        <v>596</v>
      </c>
      <c r="B42" s="57" t="s">
        <v>153</v>
      </c>
      <c r="C42" s="10" t="s">
        <v>167</v>
      </c>
      <c r="D42" s="53" t="s">
        <v>597</v>
      </c>
      <c r="E42" s="2"/>
      <c r="F42" s="2"/>
      <c r="U42" s="2"/>
      <c r="V42" s="2"/>
    </row>
    <row r="43" spans="1:24" ht="58" x14ac:dyDescent="0.35">
      <c r="A43" s="42" t="s">
        <v>44</v>
      </c>
      <c r="B43" s="58" t="s">
        <v>92</v>
      </c>
      <c r="C43" s="10" t="s">
        <v>434</v>
      </c>
      <c r="D43" s="4" t="s">
        <v>171</v>
      </c>
      <c r="E43" s="4" t="s">
        <v>104</v>
      </c>
      <c r="F43" s="4" t="s">
        <v>49</v>
      </c>
      <c r="G43" s="4" t="s">
        <v>50</v>
      </c>
      <c r="H43" s="4" t="s">
        <v>160</v>
      </c>
      <c r="I43" s="4" t="s">
        <v>52</v>
      </c>
      <c r="J43" s="4" t="s">
        <v>52</v>
      </c>
      <c r="K43" s="4" t="s">
        <v>63</v>
      </c>
      <c r="L43" s="4" t="s">
        <v>110</v>
      </c>
      <c r="M43" s="4" t="s">
        <v>75</v>
      </c>
      <c r="N43" s="4" t="s">
        <v>91</v>
      </c>
      <c r="O43" s="4" t="s">
        <v>52</v>
      </c>
      <c r="P43" s="4" t="s">
        <v>56</v>
      </c>
      <c r="Q43" s="4" t="s">
        <v>56</v>
      </c>
      <c r="R43" s="4" t="s">
        <v>55</v>
      </c>
      <c r="S43" s="4" t="s">
        <v>55</v>
      </c>
      <c r="T43" s="4" t="s">
        <v>55</v>
      </c>
      <c r="U43" s="4" t="s">
        <v>172</v>
      </c>
      <c r="V43" s="2" t="s">
        <v>173</v>
      </c>
    </row>
    <row r="44" spans="1:24" ht="29" x14ac:dyDescent="0.35">
      <c r="B44" s="58" t="s">
        <v>92</v>
      </c>
      <c r="C44" s="10" t="s">
        <v>204</v>
      </c>
      <c r="D44" s="4" t="s">
        <v>598</v>
      </c>
      <c r="E44" s="40"/>
      <c r="F44" s="40"/>
      <c r="G44" s="40"/>
      <c r="H44" s="40"/>
      <c r="I44" s="40"/>
      <c r="J44" s="40"/>
      <c r="K44" s="40"/>
      <c r="L44" s="40"/>
      <c r="M44" s="40"/>
      <c r="N44" s="40"/>
      <c r="O44" s="40"/>
      <c r="P44" s="40"/>
      <c r="Q44" s="40"/>
      <c r="R44" s="40"/>
      <c r="S44" s="40"/>
      <c r="T44" s="40"/>
      <c r="U44" s="40"/>
      <c r="V44" s="4"/>
      <c r="W44" s="40"/>
      <c r="X44" s="40"/>
    </row>
    <row r="45" spans="1:24" ht="29" x14ac:dyDescent="0.35">
      <c r="B45" s="58" t="s">
        <v>92</v>
      </c>
      <c r="C45" s="10" t="s">
        <v>206</v>
      </c>
      <c r="D45" s="4" t="s">
        <v>599</v>
      </c>
      <c r="E45" s="40"/>
      <c r="F45" s="40"/>
      <c r="G45" s="40"/>
      <c r="H45" s="40"/>
      <c r="I45" s="40"/>
      <c r="J45" s="40"/>
      <c r="K45" s="40"/>
      <c r="L45" s="40"/>
      <c r="M45" s="40"/>
      <c r="N45" s="40"/>
      <c r="O45" s="40"/>
      <c r="P45" s="40"/>
      <c r="Q45" s="40"/>
      <c r="R45" s="40"/>
      <c r="S45" s="40"/>
      <c r="T45" s="40"/>
      <c r="U45" s="40"/>
      <c r="V45" s="4"/>
      <c r="W45" s="40"/>
      <c r="X45" s="40"/>
    </row>
    <row r="46" spans="1:24" ht="29" x14ac:dyDescent="0.35">
      <c r="A46" s="42" t="s">
        <v>208</v>
      </c>
      <c r="B46" s="58" t="s">
        <v>92</v>
      </c>
      <c r="C46" s="10" t="s">
        <v>209</v>
      </c>
      <c r="D46" s="149" t="s">
        <v>210</v>
      </c>
      <c r="E46" s="40" t="s">
        <v>48</v>
      </c>
      <c r="F46" s="40" t="s">
        <v>49</v>
      </c>
      <c r="G46" s="40" t="s">
        <v>74</v>
      </c>
      <c r="H46" s="40" t="s">
        <v>160</v>
      </c>
      <c r="I46" s="40" t="s">
        <v>63</v>
      </c>
      <c r="J46" s="40" t="s">
        <v>53</v>
      </c>
      <c r="K46" s="40" t="s">
        <v>53</v>
      </c>
      <c r="L46" s="40" t="s">
        <v>54</v>
      </c>
      <c r="M46" s="40" t="s">
        <v>53</v>
      </c>
      <c r="N46" s="40" t="s">
        <v>53</v>
      </c>
      <c r="O46" s="40" t="s">
        <v>53</v>
      </c>
      <c r="P46" s="40" t="s">
        <v>55</v>
      </c>
      <c r="Q46" s="40" t="s">
        <v>56</v>
      </c>
      <c r="R46" s="40" t="s">
        <v>55</v>
      </c>
      <c r="S46" s="40" t="s">
        <v>55</v>
      </c>
      <c r="T46" s="40" t="s">
        <v>55</v>
      </c>
      <c r="U46" s="40"/>
      <c r="V46" s="4"/>
      <c r="W46" s="40"/>
      <c r="X46" s="40"/>
    </row>
    <row r="47" spans="1:24" ht="45" customHeight="1" x14ac:dyDescent="0.35">
      <c r="A47" s="42" t="s">
        <v>208</v>
      </c>
      <c r="B47" s="58" t="s">
        <v>92</v>
      </c>
      <c r="C47" s="10" t="s">
        <v>211</v>
      </c>
      <c r="D47" s="149" t="s">
        <v>600</v>
      </c>
      <c r="E47" s="40" t="s">
        <v>48</v>
      </c>
      <c r="F47" s="40" t="s">
        <v>61</v>
      </c>
      <c r="G47" s="40" t="s">
        <v>74</v>
      </c>
      <c r="H47" s="40" t="s">
        <v>160</v>
      </c>
      <c r="I47" s="40" t="s">
        <v>63</v>
      </c>
      <c r="J47" s="40" t="s">
        <v>53</v>
      </c>
      <c r="K47" s="40" t="s">
        <v>53</v>
      </c>
      <c r="L47" s="40" t="s">
        <v>54</v>
      </c>
      <c r="M47" s="40" t="s">
        <v>53</v>
      </c>
      <c r="N47" s="40" t="s">
        <v>53</v>
      </c>
      <c r="O47" s="40" t="s">
        <v>53</v>
      </c>
      <c r="P47" s="40" t="s">
        <v>55</v>
      </c>
      <c r="Q47" s="40" t="s">
        <v>56</v>
      </c>
      <c r="R47" s="40" t="s">
        <v>55</v>
      </c>
      <c r="S47" s="40" t="s">
        <v>55</v>
      </c>
      <c r="T47" s="40" t="s">
        <v>55</v>
      </c>
      <c r="U47" s="40"/>
      <c r="V47" s="4"/>
      <c r="W47" s="40"/>
      <c r="X47" s="40"/>
    </row>
    <row r="48" spans="1:24" s="40" customFormat="1" ht="75" customHeight="1" x14ac:dyDescent="0.35">
      <c r="A48" s="42" t="s">
        <v>208</v>
      </c>
      <c r="B48" s="58" t="s">
        <v>92</v>
      </c>
      <c r="C48" s="10" t="s">
        <v>213</v>
      </c>
      <c r="D48" s="149" t="s">
        <v>214</v>
      </c>
      <c r="E48" s="40" t="s">
        <v>48</v>
      </c>
      <c r="F48" s="40" t="s">
        <v>61</v>
      </c>
      <c r="G48" s="40" t="s">
        <v>74</v>
      </c>
      <c r="H48" s="40" t="s">
        <v>160</v>
      </c>
      <c r="I48" s="40" t="s">
        <v>63</v>
      </c>
      <c r="J48" s="40" t="s">
        <v>53</v>
      </c>
      <c r="K48" s="40" t="s">
        <v>53</v>
      </c>
      <c r="L48" s="40" t="s">
        <v>54</v>
      </c>
      <c r="M48" s="40" t="s">
        <v>53</v>
      </c>
      <c r="N48" s="40" t="s">
        <v>53</v>
      </c>
      <c r="O48" s="40" t="s">
        <v>53</v>
      </c>
      <c r="P48" s="40" t="s">
        <v>55</v>
      </c>
      <c r="Q48" s="40" t="s">
        <v>56</v>
      </c>
      <c r="R48" s="40" t="s">
        <v>55</v>
      </c>
      <c r="S48" s="40" t="s">
        <v>55</v>
      </c>
      <c r="T48" s="40" t="s">
        <v>55</v>
      </c>
      <c r="V48" s="4"/>
    </row>
    <row r="49" spans="1:24" s="40" customFormat="1" ht="29" x14ac:dyDescent="0.35">
      <c r="A49" s="42" t="s">
        <v>208</v>
      </c>
      <c r="B49" s="58" t="s">
        <v>92</v>
      </c>
      <c r="C49" s="10" t="s">
        <v>215</v>
      </c>
      <c r="D49" s="149" t="s">
        <v>216</v>
      </c>
      <c r="E49" s="40" t="s">
        <v>151</v>
      </c>
      <c r="F49" s="40" t="s">
        <v>219</v>
      </c>
      <c r="G49" s="40" t="s">
        <v>74</v>
      </c>
      <c r="H49" s="40" t="s">
        <v>160</v>
      </c>
      <c r="I49" s="40" t="s">
        <v>52</v>
      </c>
      <c r="J49" s="40" t="s">
        <v>53</v>
      </c>
      <c r="K49" s="40" t="s">
        <v>53</v>
      </c>
      <c r="L49" s="40" t="s">
        <v>69</v>
      </c>
      <c r="M49" s="40" t="s">
        <v>53</v>
      </c>
      <c r="N49" s="40" t="s">
        <v>76</v>
      </c>
      <c r="O49" s="40" t="s">
        <v>53</v>
      </c>
      <c r="P49" s="40" t="s">
        <v>55</v>
      </c>
      <c r="Q49" s="40" t="s">
        <v>55</v>
      </c>
      <c r="R49" s="40" t="s">
        <v>55</v>
      </c>
      <c r="S49" s="40" t="s">
        <v>55</v>
      </c>
      <c r="T49" s="40" t="s">
        <v>55</v>
      </c>
      <c r="V49" s="4"/>
    </row>
    <row r="50" spans="1:24" s="40" customFormat="1" ht="29" x14ac:dyDescent="0.35">
      <c r="A50" s="42" t="s">
        <v>208</v>
      </c>
      <c r="B50" s="58" t="s">
        <v>92</v>
      </c>
      <c r="C50" s="10" t="s">
        <v>217</v>
      </c>
      <c r="D50" s="149" t="s">
        <v>218</v>
      </c>
      <c r="E50" s="40" t="s">
        <v>151</v>
      </c>
      <c r="F50" s="40" t="s">
        <v>219</v>
      </c>
      <c r="G50" s="40" t="s">
        <v>128</v>
      </c>
      <c r="H50" s="40" t="s">
        <v>177</v>
      </c>
      <c r="I50" s="40" t="s">
        <v>52</v>
      </c>
      <c r="J50" s="40" t="s">
        <v>53</v>
      </c>
      <c r="K50" s="40" t="s">
        <v>53</v>
      </c>
      <c r="L50" s="40" t="s">
        <v>69</v>
      </c>
      <c r="M50" s="40" t="s">
        <v>53</v>
      </c>
      <c r="N50" s="40" t="s">
        <v>53</v>
      </c>
      <c r="O50" s="40" t="s">
        <v>53</v>
      </c>
      <c r="P50" s="40" t="s">
        <v>55</v>
      </c>
      <c r="Q50" s="40" t="s">
        <v>55</v>
      </c>
      <c r="R50" s="40" t="s">
        <v>55</v>
      </c>
      <c r="S50" s="40" t="s">
        <v>55</v>
      </c>
      <c r="T50" s="40" t="s">
        <v>55</v>
      </c>
      <c r="V50" s="4"/>
    </row>
    <row r="51" spans="1:24" s="40" customFormat="1" ht="120" customHeight="1" x14ac:dyDescent="0.35">
      <c r="A51" s="42" t="s">
        <v>208</v>
      </c>
      <c r="B51" s="58" t="s">
        <v>92</v>
      </c>
      <c r="C51" s="10" t="s">
        <v>220</v>
      </c>
      <c r="D51" s="149" t="s">
        <v>221</v>
      </c>
      <c r="E51" s="40" t="s">
        <v>48</v>
      </c>
      <c r="F51" s="40" t="s">
        <v>61</v>
      </c>
      <c r="G51" s="40" t="s">
        <v>50</v>
      </c>
      <c r="H51" s="40" t="s">
        <v>160</v>
      </c>
      <c r="I51" s="40" t="s">
        <v>63</v>
      </c>
      <c r="J51" s="40" t="s">
        <v>63</v>
      </c>
      <c r="K51" s="40" t="s">
        <v>53</v>
      </c>
      <c r="L51" s="40" t="s">
        <v>54</v>
      </c>
      <c r="M51" s="40" t="s">
        <v>53</v>
      </c>
      <c r="N51" s="40" t="s">
        <v>53</v>
      </c>
      <c r="O51" s="40" t="s">
        <v>53</v>
      </c>
      <c r="P51" s="40" t="s">
        <v>55</v>
      </c>
      <c r="Q51" s="40" t="s">
        <v>56</v>
      </c>
      <c r="R51" s="40" t="s">
        <v>55</v>
      </c>
      <c r="S51" s="40" t="s">
        <v>55</v>
      </c>
      <c r="T51" s="40" t="s">
        <v>55</v>
      </c>
      <c r="V51" s="4"/>
    </row>
    <row r="52" spans="1:24" s="40" customFormat="1" ht="75" customHeight="1" x14ac:dyDescent="0.35">
      <c r="A52" s="42" t="s">
        <v>208</v>
      </c>
      <c r="B52" s="58" t="s">
        <v>92</v>
      </c>
      <c r="C52" s="10" t="s">
        <v>222</v>
      </c>
      <c r="D52" s="9" t="s">
        <v>223</v>
      </c>
      <c r="E52" s="40" t="s">
        <v>48</v>
      </c>
      <c r="F52" s="40" t="s">
        <v>49</v>
      </c>
      <c r="G52" s="40" t="s">
        <v>50</v>
      </c>
      <c r="H52" s="40" t="s">
        <v>160</v>
      </c>
      <c r="I52" s="40" t="s">
        <v>63</v>
      </c>
      <c r="J52" s="40" t="s">
        <v>53</v>
      </c>
      <c r="K52" s="40" t="s">
        <v>53</v>
      </c>
      <c r="L52" s="40" t="s">
        <v>54</v>
      </c>
      <c r="M52" s="40" t="s">
        <v>53</v>
      </c>
      <c r="N52" s="40" t="s">
        <v>53</v>
      </c>
      <c r="O52" s="40" t="s">
        <v>53</v>
      </c>
      <c r="P52" s="40" t="s">
        <v>55</v>
      </c>
      <c r="Q52" s="40" t="s">
        <v>56</v>
      </c>
      <c r="R52" s="40" t="s">
        <v>55</v>
      </c>
      <c r="S52" s="40" t="s">
        <v>55</v>
      </c>
      <c r="T52" s="40" t="s">
        <v>55</v>
      </c>
      <c r="U52" s="40" t="s">
        <v>224</v>
      </c>
      <c r="V52" s="4"/>
    </row>
    <row r="53" spans="1:24" s="40" customFormat="1" ht="60" customHeight="1" x14ac:dyDescent="0.35">
      <c r="A53" s="42" t="s">
        <v>208</v>
      </c>
      <c r="B53" s="58" t="s">
        <v>92</v>
      </c>
      <c r="C53" s="10" t="s">
        <v>225</v>
      </c>
      <c r="D53" s="9" t="s">
        <v>226</v>
      </c>
      <c r="E53" s="40" t="s">
        <v>151</v>
      </c>
      <c r="F53" s="40" t="s">
        <v>138</v>
      </c>
      <c r="G53" s="40" t="s">
        <v>50</v>
      </c>
      <c r="H53" s="40" t="s">
        <v>160</v>
      </c>
      <c r="I53" s="40" t="s">
        <v>63</v>
      </c>
      <c r="J53" s="40" t="s">
        <v>53</v>
      </c>
      <c r="K53" s="40" t="s">
        <v>53</v>
      </c>
      <c r="L53" s="40" t="s">
        <v>69</v>
      </c>
      <c r="M53" s="40" t="s">
        <v>53</v>
      </c>
      <c r="N53" s="40" t="s">
        <v>76</v>
      </c>
      <c r="O53" s="40" t="s">
        <v>53</v>
      </c>
      <c r="P53" s="40" t="s">
        <v>55</v>
      </c>
      <c r="Q53" s="40" t="s">
        <v>55</v>
      </c>
      <c r="R53" s="40" t="s">
        <v>55</v>
      </c>
      <c r="S53" s="40" t="s">
        <v>55</v>
      </c>
      <c r="T53" s="40" t="s">
        <v>55</v>
      </c>
      <c r="V53" s="4"/>
    </row>
    <row r="54" spans="1:24" ht="30.75" customHeight="1" x14ac:dyDescent="0.35">
      <c r="A54" s="42" t="s">
        <v>208</v>
      </c>
      <c r="B54" s="58" t="s">
        <v>92</v>
      </c>
      <c r="C54" s="10" t="s">
        <v>451</v>
      </c>
      <c r="D54" s="9" t="s">
        <v>176</v>
      </c>
      <c r="E54" s="40" t="s">
        <v>87</v>
      </c>
      <c r="F54" s="40" t="s">
        <v>61</v>
      </c>
      <c r="G54" s="40" t="s">
        <v>62</v>
      </c>
      <c r="H54" s="40" t="s">
        <v>177</v>
      </c>
      <c r="I54" s="40" t="s">
        <v>52</v>
      </c>
      <c r="J54" s="40" t="s">
        <v>63</v>
      </c>
      <c r="K54" s="40" t="s">
        <v>63</v>
      </c>
      <c r="L54" s="40" t="s">
        <v>69</v>
      </c>
      <c r="M54" s="40" t="s">
        <v>75</v>
      </c>
      <c r="N54" s="40" t="s">
        <v>76</v>
      </c>
      <c r="O54" s="40" t="s">
        <v>63</v>
      </c>
      <c r="P54" s="40" t="s">
        <v>56</v>
      </c>
      <c r="Q54" s="40" t="s">
        <v>56</v>
      </c>
      <c r="R54" s="40" t="s">
        <v>55</v>
      </c>
      <c r="S54" s="40" t="s">
        <v>55</v>
      </c>
      <c r="T54" s="40" t="s">
        <v>56</v>
      </c>
      <c r="U54" s="4" t="s">
        <v>178</v>
      </c>
      <c r="V54" s="4" t="s">
        <v>179</v>
      </c>
      <c r="W54" s="40"/>
      <c r="X54" s="40"/>
    </row>
    <row r="55" spans="1:24" s="40" customFormat="1" ht="30" customHeight="1" x14ac:dyDescent="0.35">
      <c r="A55" s="42" t="s">
        <v>208</v>
      </c>
      <c r="B55" s="58" t="s">
        <v>92</v>
      </c>
      <c r="C55" s="10" t="s">
        <v>227</v>
      </c>
      <c r="D55" s="9" t="s">
        <v>228</v>
      </c>
      <c r="E55" s="40" t="s">
        <v>48</v>
      </c>
      <c r="F55" s="40" t="s">
        <v>61</v>
      </c>
      <c r="G55" s="40" t="s">
        <v>50</v>
      </c>
      <c r="H55" s="40" t="s">
        <v>160</v>
      </c>
      <c r="I55" s="40" t="s">
        <v>63</v>
      </c>
      <c r="J55" s="40" t="s">
        <v>53</v>
      </c>
      <c r="K55" s="40" t="s">
        <v>53</v>
      </c>
      <c r="L55" s="40" t="s">
        <v>54</v>
      </c>
      <c r="M55" s="40" t="s">
        <v>76</v>
      </c>
      <c r="N55" s="40" t="s">
        <v>53</v>
      </c>
      <c r="O55" s="40" t="s">
        <v>53</v>
      </c>
      <c r="P55" s="40" t="s">
        <v>55</v>
      </c>
      <c r="Q55" s="40" t="s">
        <v>56</v>
      </c>
      <c r="R55" s="40" t="s">
        <v>55</v>
      </c>
      <c r="S55" s="40" t="s">
        <v>55</v>
      </c>
      <c r="T55" s="40" t="s">
        <v>55</v>
      </c>
      <c r="V55" s="4"/>
    </row>
    <row r="56" spans="1:24" s="40" customFormat="1" ht="75" customHeight="1" x14ac:dyDescent="0.35">
      <c r="A56" s="42" t="s">
        <v>208</v>
      </c>
      <c r="B56" s="58" t="s">
        <v>92</v>
      </c>
      <c r="C56" s="10" t="s">
        <v>229</v>
      </c>
      <c r="D56" s="9" t="s">
        <v>230</v>
      </c>
      <c r="E56" s="40" t="s">
        <v>48</v>
      </c>
      <c r="F56" s="40" t="s">
        <v>61</v>
      </c>
      <c r="G56" s="40" t="s">
        <v>50</v>
      </c>
      <c r="H56" s="40" t="s">
        <v>160</v>
      </c>
      <c r="I56" s="40" t="s">
        <v>63</v>
      </c>
      <c r="J56" s="40" t="s">
        <v>53</v>
      </c>
      <c r="K56" s="40" t="s">
        <v>53</v>
      </c>
      <c r="L56" s="40" t="s">
        <v>54</v>
      </c>
      <c r="M56" s="40" t="s">
        <v>76</v>
      </c>
      <c r="N56" s="40" t="s">
        <v>53</v>
      </c>
      <c r="O56" s="40" t="s">
        <v>53</v>
      </c>
      <c r="P56" s="40" t="s">
        <v>55</v>
      </c>
      <c r="Q56" s="40" t="s">
        <v>56</v>
      </c>
      <c r="R56" s="40" t="s">
        <v>55</v>
      </c>
      <c r="S56" s="40" t="s">
        <v>55</v>
      </c>
      <c r="T56" s="40" t="s">
        <v>55</v>
      </c>
      <c r="V56" s="4"/>
    </row>
    <row r="57" spans="1:24" s="40" customFormat="1" ht="15" customHeight="1" x14ac:dyDescent="0.35">
      <c r="A57" s="42" t="s">
        <v>208</v>
      </c>
      <c r="B57" s="58" t="s">
        <v>92</v>
      </c>
      <c r="C57" s="10" t="s">
        <v>231</v>
      </c>
      <c r="D57" s="149" t="s">
        <v>601</v>
      </c>
      <c r="E57" s="40" t="s">
        <v>151</v>
      </c>
      <c r="F57" s="40" t="s">
        <v>219</v>
      </c>
      <c r="G57" s="40" t="s">
        <v>50</v>
      </c>
      <c r="H57" s="40" t="s">
        <v>160</v>
      </c>
      <c r="I57" s="40" t="s">
        <v>52</v>
      </c>
      <c r="J57" s="40" t="s">
        <v>53</v>
      </c>
      <c r="K57" s="40" t="s">
        <v>53</v>
      </c>
      <c r="L57" s="40" t="s">
        <v>69</v>
      </c>
      <c r="M57" s="40" t="s">
        <v>75</v>
      </c>
      <c r="N57" s="40" t="s">
        <v>76</v>
      </c>
      <c r="O57" s="40" t="s">
        <v>53</v>
      </c>
      <c r="P57" s="40" t="s">
        <v>55</v>
      </c>
      <c r="Q57" s="40" t="s">
        <v>55</v>
      </c>
      <c r="R57" s="40" t="s">
        <v>55</v>
      </c>
      <c r="S57" s="40" t="s">
        <v>55</v>
      </c>
      <c r="T57" s="40" t="s">
        <v>55</v>
      </c>
      <c r="V57" s="4"/>
    </row>
    <row r="58" spans="1:24" s="40" customFormat="1" ht="30" customHeight="1" x14ac:dyDescent="0.35">
      <c r="A58" s="42" t="s">
        <v>208</v>
      </c>
      <c r="B58" s="58" t="s">
        <v>92</v>
      </c>
      <c r="C58" s="10" t="s">
        <v>233</v>
      </c>
      <c r="D58" s="149" t="s">
        <v>234</v>
      </c>
      <c r="E58" s="40" t="s">
        <v>48</v>
      </c>
      <c r="F58" s="40" t="s">
        <v>61</v>
      </c>
      <c r="G58" s="40" t="s">
        <v>50</v>
      </c>
      <c r="H58" s="40" t="s">
        <v>160</v>
      </c>
      <c r="I58" s="40" t="s">
        <v>52</v>
      </c>
      <c r="J58" s="40" t="s">
        <v>52</v>
      </c>
      <c r="K58" s="40" t="s">
        <v>52</v>
      </c>
      <c r="M58" s="40" t="s">
        <v>76</v>
      </c>
      <c r="N58" s="40" t="s">
        <v>53</v>
      </c>
      <c r="O58" s="40" t="s">
        <v>53</v>
      </c>
      <c r="P58" s="40" t="s">
        <v>55</v>
      </c>
      <c r="Q58" s="40" t="s">
        <v>56</v>
      </c>
      <c r="R58" s="40" t="s">
        <v>55</v>
      </c>
      <c r="S58" s="40" t="s">
        <v>55</v>
      </c>
      <c r="T58" s="40" t="s">
        <v>55</v>
      </c>
      <c r="U58" s="40" t="s">
        <v>57</v>
      </c>
      <c r="V58" s="4" t="s">
        <v>235</v>
      </c>
    </row>
    <row r="59" spans="1:24" s="40" customFormat="1" ht="43.5" customHeight="1" x14ac:dyDescent="0.35">
      <c r="A59" s="42" t="s">
        <v>208</v>
      </c>
      <c r="B59" s="58" t="s">
        <v>92</v>
      </c>
      <c r="C59" s="10" t="s">
        <v>236</v>
      </c>
      <c r="D59" s="149" t="s">
        <v>237</v>
      </c>
      <c r="E59" s="40" t="s">
        <v>48</v>
      </c>
      <c r="F59" s="40" t="s">
        <v>61</v>
      </c>
      <c r="G59" s="40" t="s">
        <v>50</v>
      </c>
      <c r="H59" s="40" t="s">
        <v>160</v>
      </c>
      <c r="I59" s="40" t="s">
        <v>63</v>
      </c>
      <c r="J59" s="40" t="s">
        <v>53</v>
      </c>
      <c r="K59" s="40" t="s">
        <v>53</v>
      </c>
      <c r="L59" s="40" t="s">
        <v>54</v>
      </c>
      <c r="M59" s="40" t="s">
        <v>76</v>
      </c>
      <c r="N59" s="40" t="s">
        <v>53</v>
      </c>
      <c r="O59" s="40" t="s">
        <v>53</v>
      </c>
      <c r="P59" s="40" t="s">
        <v>55</v>
      </c>
      <c r="Q59" s="40" t="s">
        <v>56</v>
      </c>
      <c r="R59" s="40" t="s">
        <v>55</v>
      </c>
      <c r="S59" s="40" t="s">
        <v>55</v>
      </c>
      <c r="T59" s="40" t="s">
        <v>55</v>
      </c>
      <c r="V59" s="4" t="s">
        <v>238</v>
      </c>
    </row>
    <row r="60" spans="1:24" s="40" customFormat="1" ht="44.25" customHeight="1" x14ac:dyDescent="0.35">
      <c r="A60" s="42"/>
      <c r="B60" s="58" t="s">
        <v>92</v>
      </c>
      <c r="C60" s="10" t="s">
        <v>239</v>
      </c>
      <c r="D60" s="149" t="s">
        <v>602</v>
      </c>
      <c r="E60" s="40" t="s">
        <v>151</v>
      </c>
      <c r="F60" s="40" t="s">
        <v>219</v>
      </c>
      <c r="G60" s="40" t="s">
        <v>50</v>
      </c>
      <c r="H60" s="40" t="s">
        <v>160</v>
      </c>
      <c r="I60" s="40" t="s">
        <v>79</v>
      </c>
      <c r="J60" s="40" t="s">
        <v>53</v>
      </c>
      <c r="K60" s="40" t="s">
        <v>53</v>
      </c>
      <c r="L60" s="40" t="s">
        <v>69</v>
      </c>
      <c r="M60" s="40" t="s">
        <v>76</v>
      </c>
      <c r="N60" s="40" t="s">
        <v>76</v>
      </c>
      <c r="O60" s="40" t="s">
        <v>53</v>
      </c>
      <c r="P60" s="40" t="s">
        <v>55</v>
      </c>
      <c r="Q60" s="40" t="s">
        <v>55</v>
      </c>
      <c r="R60" s="40" t="s">
        <v>55</v>
      </c>
      <c r="S60" s="40" t="s">
        <v>55</v>
      </c>
      <c r="T60" s="40" t="s">
        <v>55</v>
      </c>
      <c r="V60" s="4"/>
    </row>
    <row r="61" spans="1:24" s="40" customFormat="1" ht="29" x14ac:dyDescent="0.35">
      <c r="A61" s="42" t="s">
        <v>208</v>
      </c>
      <c r="B61" s="58" t="s">
        <v>92</v>
      </c>
      <c r="C61" s="10" t="s">
        <v>241</v>
      </c>
      <c r="D61" s="149" t="s">
        <v>242</v>
      </c>
      <c r="E61" s="40" t="s">
        <v>104</v>
      </c>
      <c r="F61" s="40" t="s">
        <v>61</v>
      </c>
      <c r="G61" s="40" t="s">
        <v>50</v>
      </c>
      <c r="H61" s="40" t="s">
        <v>107</v>
      </c>
      <c r="I61" s="40" t="s">
        <v>63</v>
      </c>
      <c r="J61" s="40" t="s">
        <v>63</v>
      </c>
      <c r="K61" s="40" t="s">
        <v>53</v>
      </c>
      <c r="L61" s="40" t="s">
        <v>54</v>
      </c>
      <c r="M61" s="40" t="s">
        <v>53</v>
      </c>
      <c r="N61" s="40" t="s">
        <v>53</v>
      </c>
      <c r="O61" s="40" t="s">
        <v>53</v>
      </c>
      <c r="P61" s="40" t="s">
        <v>55</v>
      </c>
      <c r="Q61" s="40" t="s">
        <v>56</v>
      </c>
      <c r="R61" s="40" t="s">
        <v>56</v>
      </c>
      <c r="S61" s="40" t="s">
        <v>55</v>
      </c>
      <c r="T61" s="40" t="s">
        <v>55</v>
      </c>
      <c r="V61" s="4"/>
    </row>
    <row r="62" spans="1:24" s="40" customFormat="1" ht="45" customHeight="1" x14ac:dyDescent="0.35">
      <c r="A62" s="42" t="s">
        <v>208</v>
      </c>
      <c r="B62" s="58" t="s">
        <v>92</v>
      </c>
      <c r="C62" s="10" t="s">
        <v>243</v>
      </c>
      <c r="D62" s="9" t="s">
        <v>603</v>
      </c>
      <c r="E62" s="40" t="s">
        <v>104</v>
      </c>
      <c r="F62" s="40" t="s">
        <v>138</v>
      </c>
      <c r="G62" s="40" t="s">
        <v>62</v>
      </c>
      <c r="H62" s="40" t="s">
        <v>62</v>
      </c>
      <c r="I62" s="40" t="s">
        <v>52</v>
      </c>
      <c r="J62" s="40" t="s">
        <v>52</v>
      </c>
      <c r="K62" s="40" t="s">
        <v>63</v>
      </c>
      <c r="L62" s="40" t="s">
        <v>110</v>
      </c>
      <c r="M62" s="40" t="s">
        <v>76</v>
      </c>
      <c r="N62" s="40" t="s">
        <v>76</v>
      </c>
      <c r="O62" s="40" t="s">
        <v>53</v>
      </c>
      <c r="P62" s="40" t="s">
        <v>56</v>
      </c>
      <c r="Q62" s="40" t="s">
        <v>55</v>
      </c>
      <c r="R62" s="40" t="s">
        <v>55</v>
      </c>
      <c r="S62" s="40" t="s">
        <v>55</v>
      </c>
      <c r="T62" s="40" t="s">
        <v>56</v>
      </c>
      <c r="U62" s="40" t="s">
        <v>245</v>
      </c>
      <c r="V62" s="4" t="s">
        <v>246</v>
      </c>
    </row>
    <row r="63" spans="1:24" s="40" customFormat="1" ht="60" customHeight="1" x14ac:dyDescent="0.35">
      <c r="A63" s="42" t="s">
        <v>208</v>
      </c>
      <c r="B63" s="58" t="s">
        <v>92</v>
      </c>
      <c r="C63" s="10" t="s">
        <v>247</v>
      </c>
      <c r="D63" s="149" t="s">
        <v>248</v>
      </c>
      <c r="E63" s="40" t="s">
        <v>48</v>
      </c>
      <c r="F63" s="40" t="s">
        <v>49</v>
      </c>
      <c r="G63" s="40" t="s">
        <v>128</v>
      </c>
      <c r="H63" s="40" t="s">
        <v>51</v>
      </c>
      <c r="I63" s="40" t="s">
        <v>63</v>
      </c>
      <c r="J63" s="40" t="s">
        <v>53</v>
      </c>
      <c r="K63" s="40" t="s">
        <v>53</v>
      </c>
      <c r="L63" s="40" t="s">
        <v>54</v>
      </c>
      <c r="M63" s="40" t="s">
        <v>53</v>
      </c>
      <c r="N63" s="40" t="s">
        <v>53</v>
      </c>
      <c r="O63" s="40" t="s">
        <v>53</v>
      </c>
      <c r="P63" s="40" t="s">
        <v>55</v>
      </c>
      <c r="Q63" s="40" t="s">
        <v>56</v>
      </c>
      <c r="R63" s="40" t="s">
        <v>55</v>
      </c>
      <c r="S63" s="40" t="s">
        <v>55</v>
      </c>
      <c r="T63" s="40" t="s">
        <v>55</v>
      </c>
      <c r="V63" s="4" t="s">
        <v>249</v>
      </c>
    </row>
    <row r="64" spans="1:24" s="40" customFormat="1" ht="45" customHeight="1" x14ac:dyDescent="0.35">
      <c r="A64" s="42" t="s">
        <v>208</v>
      </c>
      <c r="B64" s="58" t="s">
        <v>92</v>
      </c>
      <c r="C64" s="10" t="s">
        <v>250</v>
      </c>
      <c r="D64" s="149" t="s">
        <v>251</v>
      </c>
      <c r="E64" s="40" t="s">
        <v>87</v>
      </c>
      <c r="F64" s="40" t="s">
        <v>49</v>
      </c>
      <c r="G64" s="40" t="s">
        <v>128</v>
      </c>
      <c r="H64" s="40" t="s">
        <v>51</v>
      </c>
      <c r="I64" s="40" t="s">
        <v>63</v>
      </c>
      <c r="J64" s="40" t="s">
        <v>63</v>
      </c>
      <c r="K64" s="40" t="s">
        <v>63</v>
      </c>
      <c r="M64" s="40" t="s">
        <v>76</v>
      </c>
      <c r="N64" s="40" t="s">
        <v>53</v>
      </c>
      <c r="O64" s="40" t="s">
        <v>53</v>
      </c>
      <c r="P64" s="40" t="s">
        <v>55</v>
      </c>
      <c r="Q64" s="40" t="s">
        <v>56</v>
      </c>
      <c r="R64" s="40" t="s">
        <v>55</v>
      </c>
      <c r="S64" s="40" t="s">
        <v>55</v>
      </c>
      <c r="T64" s="40" t="s">
        <v>55</v>
      </c>
      <c r="U64" s="4" t="s">
        <v>252</v>
      </c>
      <c r="V64" s="4" t="s">
        <v>253</v>
      </c>
    </row>
    <row r="65" spans="1:24" s="40" customFormat="1" ht="30" customHeight="1" x14ac:dyDescent="0.25">
      <c r="A65" s="46" t="s">
        <v>180</v>
      </c>
      <c r="B65" s="58" t="s">
        <v>92</v>
      </c>
      <c r="C65" s="10" t="s">
        <v>441</v>
      </c>
      <c r="D65" s="4" t="s">
        <v>182</v>
      </c>
      <c r="E65" s="40" t="s">
        <v>104</v>
      </c>
      <c r="F65" s="40" t="s">
        <v>49</v>
      </c>
      <c r="G65" s="40" t="s">
        <v>183</v>
      </c>
      <c r="H65" s="40" t="s">
        <v>160</v>
      </c>
      <c r="I65" s="40" t="s">
        <v>52</v>
      </c>
      <c r="J65" s="40" t="s">
        <v>52</v>
      </c>
      <c r="K65" s="40" t="s">
        <v>63</v>
      </c>
      <c r="L65" s="40" t="s">
        <v>110</v>
      </c>
      <c r="M65" s="40" t="s">
        <v>76</v>
      </c>
      <c r="N65" s="40" t="s">
        <v>91</v>
      </c>
      <c r="O65" s="40" t="s">
        <v>52</v>
      </c>
      <c r="P65" s="40" t="s">
        <v>56</v>
      </c>
      <c r="Q65" s="40" t="s">
        <v>55</v>
      </c>
      <c r="R65" s="40" t="s">
        <v>55</v>
      </c>
      <c r="S65" s="40" t="s">
        <v>55</v>
      </c>
      <c r="T65" s="40" t="s">
        <v>56</v>
      </c>
      <c r="V65" s="4"/>
    </row>
    <row r="66" spans="1:24" s="40" customFormat="1" ht="105" customHeight="1" x14ac:dyDescent="0.35">
      <c r="A66" s="42" t="s">
        <v>208</v>
      </c>
      <c r="B66" s="58" t="s">
        <v>92</v>
      </c>
      <c r="C66" s="10" t="s">
        <v>254</v>
      </c>
      <c r="D66" s="149" t="s">
        <v>255</v>
      </c>
      <c r="E66" s="40" t="s">
        <v>48</v>
      </c>
      <c r="F66" s="40" t="s">
        <v>61</v>
      </c>
      <c r="G66" s="40" t="s">
        <v>98</v>
      </c>
      <c r="H66" s="40" t="s">
        <v>51</v>
      </c>
      <c r="I66" s="40" t="s">
        <v>52</v>
      </c>
      <c r="J66" s="40" t="s">
        <v>53</v>
      </c>
      <c r="K66" s="40" t="s">
        <v>53</v>
      </c>
      <c r="M66" s="40" t="s">
        <v>76</v>
      </c>
      <c r="N66" s="40" t="s">
        <v>53</v>
      </c>
      <c r="O66" s="40" t="s">
        <v>53</v>
      </c>
      <c r="P66" s="40" t="s">
        <v>55</v>
      </c>
      <c r="Q66" s="40" t="s">
        <v>56</v>
      </c>
      <c r="R66" s="40" t="s">
        <v>55</v>
      </c>
      <c r="S66" s="40" t="s">
        <v>55</v>
      </c>
      <c r="T66" s="40" t="s">
        <v>55</v>
      </c>
      <c r="U66" s="4" t="s">
        <v>146</v>
      </c>
      <c r="V66" s="4" t="s">
        <v>256</v>
      </c>
    </row>
    <row r="67" spans="1:24" s="40" customFormat="1" ht="30" customHeight="1" x14ac:dyDescent="0.35">
      <c r="A67" s="42" t="s">
        <v>208</v>
      </c>
      <c r="B67" s="58" t="s">
        <v>92</v>
      </c>
      <c r="C67" s="10" t="s">
        <v>257</v>
      </c>
      <c r="D67" s="149" t="s">
        <v>258</v>
      </c>
      <c r="E67" s="40" t="s">
        <v>87</v>
      </c>
      <c r="F67" s="40" t="s">
        <v>61</v>
      </c>
      <c r="G67" s="40" t="s">
        <v>98</v>
      </c>
      <c r="H67" s="40" t="s">
        <v>51</v>
      </c>
      <c r="I67" s="40" t="s">
        <v>52</v>
      </c>
      <c r="J67" s="40" t="s">
        <v>52</v>
      </c>
      <c r="K67" s="40" t="s">
        <v>52</v>
      </c>
      <c r="L67" s="40" t="s">
        <v>69</v>
      </c>
      <c r="M67" s="40" t="s">
        <v>76</v>
      </c>
      <c r="N67" s="40" t="s">
        <v>53</v>
      </c>
      <c r="O67" s="40" t="s">
        <v>53</v>
      </c>
      <c r="P67" s="40" t="s">
        <v>55</v>
      </c>
      <c r="Q67" s="40" t="s">
        <v>56</v>
      </c>
      <c r="R67" s="40" t="s">
        <v>55</v>
      </c>
      <c r="S67" s="40" t="s">
        <v>55</v>
      </c>
      <c r="T67" s="40" t="s">
        <v>55</v>
      </c>
      <c r="U67" s="4" t="s">
        <v>252</v>
      </c>
      <c r="V67" s="4"/>
    </row>
    <row r="68" spans="1:24" s="40" customFormat="1" ht="45" customHeight="1" x14ac:dyDescent="0.35">
      <c r="A68" s="42" t="s">
        <v>208</v>
      </c>
      <c r="B68" s="58" t="s">
        <v>92</v>
      </c>
      <c r="C68" s="10" t="s">
        <v>259</v>
      </c>
      <c r="D68" s="149" t="s">
        <v>604</v>
      </c>
      <c r="E68" s="40" t="s">
        <v>48</v>
      </c>
      <c r="F68" s="40" t="s">
        <v>61</v>
      </c>
      <c r="G68" s="40" t="s">
        <v>183</v>
      </c>
      <c r="H68" s="40" t="s">
        <v>51</v>
      </c>
      <c r="I68" s="40" t="s">
        <v>63</v>
      </c>
      <c r="J68" s="40" t="s">
        <v>63</v>
      </c>
      <c r="K68" s="40" t="s">
        <v>53</v>
      </c>
      <c r="M68" s="40" t="s">
        <v>76</v>
      </c>
      <c r="N68" s="40" t="s">
        <v>53</v>
      </c>
      <c r="O68" s="40" t="s">
        <v>53</v>
      </c>
      <c r="P68" s="40" t="s">
        <v>55</v>
      </c>
      <c r="Q68" s="40" t="s">
        <v>56</v>
      </c>
      <c r="R68" s="40" t="s">
        <v>55</v>
      </c>
      <c r="S68" s="40" t="s">
        <v>55</v>
      </c>
      <c r="T68" s="40" t="s">
        <v>55</v>
      </c>
      <c r="U68" s="40" t="s">
        <v>57</v>
      </c>
      <c r="V68" s="4" t="s">
        <v>264</v>
      </c>
    </row>
    <row r="69" spans="1:24" ht="29" x14ac:dyDescent="0.35">
      <c r="A69" s="42" t="s">
        <v>208</v>
      </c>
      <c r="B69" s="58" t="s">
        <v>92</v>
      </c>
      <c r="C69" s="10" t="s">
        <v>261</v>
      </c>
      <c r="D69" s="149" t="s">
        <v>262</v>
      </c>
      <c r="E69" s="40" t="s">
        <v>48</v>
      </c>
      <c r="F69" s="40" t="s">
        <v>61</v>
      </c>
      <c r="G69" s="40" t="s">
        <v>183</v>
      </c>
      <c r="H69" s="40" t="s">
        <v>99</v>
      </c>
      <c r="I69" s="40" t="s">
        <v>63</v>
      </c>
      <c r="J69" s="40" t="s">
        <v>63</v>
      </c>
      <c r="K69" s="40" t="s">
        <v>53</v>
      </c>
      <c r="L69" s="40"/>
      <c r="M69" s="40" t="s">
        <v>76</v>
      </c>
      <c r="N69" s="40" t="s">
        <v>53</v>
      </c>
      <c r="O69" s="40" t="s">
        <v>53</v>
      </c>
      <c r="P69" s="40" t="s">
        <v>55</v>
      </c>
      <c r="Q69" s="40" t="s">
        <v>56</v>
      </c>
      <c r="R69" s="40" t="s">
        <v>55</v>
      </c>
      <c r="S69" s="40" t="s">
        <v>55</v>
      </c>
      <c r="T69" s="40" t="s">
        <v>55</v>
      </c>
      <c r="U69" s="40" t="s">
        <v>263</v>
      </c>
      <c r="V69" s="4" t="s">
        <v>264</v>
      </c>
      <c r="W69" s="40"/>
      <c r="X69" s="40"/>
    </row>
    <row r="70" spans="1:24" s="40" customFormat="1" ht="80.25" customHeight="1" x14ac:dyDescent="0.35">
      <c r="A70" s="42" t="s">
        <v>208</v>
      </c>
      <c r="B70" s="58" t="s">
        <v>92</v>
      </c>
      <c r="C70" s="10" t="s">
        <v>265</v>
      </c>
      <c r="D70" s="149" t="s">
        <v>266</v>
      </c>
      <c r="E70" s="40" t="s">
        <v>48</v>
      </c>
      <c r="F70" s="40" t="s">
        <v>61</v>
      </c>
      <c r="G70" s="40" t="s">
        <v>73</v>
      </c>
      <c r="H70" s="40" t="s">
        <v>51</v>
      </c>
      <c r="I70" s="40" t="s">
        <v>63</v>
      </c>
      <c r="J70" s="40" t="s">
        <v>63</v>
      </c>
      <c r="K70" s="40" t="s">
        <v>53</v>
      </c>
      <c r="M70" s="40" t="s">
        <v>76</v>
      </c>
      <c r="N70" s="40" t="s">
        <v>53</v>
      </c>
      <c r="O70" s="40" t="s">
        <v>53</v>
      </c>
      <c r="P70" s="40" t="s">
        <v>55</v>
      </c>
      <c r="Q70" s="40" t="s">
        <v>56</v>
      </c>
      <c r="R70" s="40" t="s">
        <v>55</v>
      </c>
      <c r="S70" s="40" t="s">
        <v>55</v>
      </c>
      <c r="T70" s="40" t="s">
        <v>55</v>
      </c>
      <c r="U70" s="40" t="s">
        <v>135</v>
      </c>
      <c r="V70" s="4" t="s">
        <v>264</v>
      </c>
    </row>
    <row r="71" spans="1:24" s="40" customFormat="1" ht="30" customHeight="1" x14ac:dyDescent="0.35">
      <c r="A71" s="42" t="s">
        <v>208</v>
      </c>
      <c r="B71" s="58" t="s">
        <v>92</v>
      </c>
      <c r="C71" s="10" t="s">
        <v>267</v>
      </c>
      <c r="D71" s="149" t="s">
        <v>268</v>
      </c>
      <c r="E71" s="40" t="s">
        <v>48</v>
      </c>
      <c r="F71" s="40" t="s">
        <v>61</v>
      </c>
      <c r="G71" s="40" t="s">
        <v>50</v>
      </c>
      <c r="H71" s="40" t="s">
        <v>99</v>
      </c>
      <c r="I71" s="40" t="s">
        <v>63</v>
      </c>
      <c r="J71" s="40" t="s">
        <v>63</v>
      </c>
      <c r="K71" s="40" t="s">
        <v>53</v>
      </c>
      <c r="M71" s="40" t="s">
        <v>76</v>
      </c>
      <c r="N71" s="40" t="s">
        <v>53</v>
      </c>
      <c r="O71" s="40" t="s">
        <v>53</v>
      </c>
      <c r="P71" s="40" t="s">
        <v>55</v>
      </c>
      <c r="Q71" s="40" t="s">
        <v>56</v>
      </c>
      <c r="R71" s="40" t="s">
        <v>55</v>
      </c>
      <c r="S71" s="40" t="s">
        <v>55</v>
      </c>
      <c r="T71" s="40" t="s">
        <v>55</v>
      </c>
      <c r="U71" s="40" t="s">
        <v>263</v>
      </c>
      <c r="V71" s="4" t="s">
        <v>264</v>
      </c>
    </row>
    <row r="72" spans="1:24" s="40" customFormat="1" ht="30" customHeight="1" x14ac:dyDescent="0.35">
      <c r="A72" s="42" t="s">
        <v>208</v>
      </c>
      <c r="B72" s="58" t="s">
        <v>92</v>
      </c>
      <c r="C72" s="10" t="s">
        <v>269</v>
      </c>
      <c r="D72" s="149" t="s">
        <v>270</v>
      </c>
      <c r="E72" s="40" t="s">
        <v>48</v>
      </c>
      <c r="F72" s="40" t="s">
        <v>138</v>
      </c>
      <c r="G72" s="40" t="s">
        <v>73</v>
      </c>
      <c r="H72" s="40" t="s">
        <v>99</v>
      </c>
      <c r="I72" s="40" t="s">
        <v>63</v>
      </c>
      <c r="J72" s="40" t="s">
        <v>53</v>
      </c>
      <c r="K72" s="40" t="s">
        <v>63</v>
      </c>
      <c r="L72" s="40" t="s">
        <v>54</v>
      </c>
      <c r="M72" s="40" t="s">
        <v>76</v>
      </c>
      <c r="N72" s="40" t="s">
        <v>53</v>
      </c>
      <c r="O72" s="40" t="s">
        <v>53</v>
      </c>
      <c r="P72" s="40" t="s">
        <v>55</v>
      </c>
      <c r="Q72" s="40" t="s">
        <v>56</v>
      </c>
      <c r="R72" s="40" t="s">
        <v>55</v>
      </c>
      <c r="S72" s="40" t="s">
        <v>55</v>
      </c>
      <c r="T72" s="40" t="s">
        <v>55</v>
      </c>
      <c r="U72" s="40" t="s">
        <v>146</v>
      </c>
      <c r="V72" s="4"/>
    </row>
    <row r="73" spans="1:24" s="40" customFormat="1" ht="45" customHeight="1" x14ac:dyDescent="0.35">
      <c r="A73" s="42" t="s">
        <v>208</v>
      </c>
      <c r="B73" s="58" t="s">
        <v>92</v>
      </c>
      <c r="C73" s="10" t="s">
        <v>271</v>
      </c>
      <c r="D73" s="149" t="s">
        <v>272</v>
      </c>
      <c r="E73" s="40" t="s">
        <v>48</v>
      </c>
      <c r="F73" s="40" t="s">
        <v>61</v>
      </c>
      <c r="G73" s="40" t="s">
        <v>73</v>
      </c>
      <c r="H73" s="40" t="s">
        <v>99</v>
      </c>
      <c r="I73" s="40" t="s">
        <v>63</v>
      </c>
      <c r="J73" s="40" t="s">
        <v>63</v>
      </c>
      <c r="K73" s="40" t="s">
        <v>53</v>
      </c>
      <c r="M73" s="40" t="s">
        <v>76</v>
      </c>
      <c r="N73" s="40" t="s">
        <v>53</v>
      </c>
      <c r="O73" s="40" t="s">
        <v>53</v>
      </c>
      <c r="P73" s="40" t="s">
        <v>55</v>
      </c>
      <c r="Q73" s="40" t="s">
        <v>56</v>
      </c>
      <c r="R73" s="40" t="s">
        <v>55</v>
      </c>
      <c r="S73" s="40" t="s">
        <v>55</v>
      </c>
      <c r="T73" s="40" t="s">
        <v>55</v>
      </c>
      <c r="U73" s="40" t="s">
        <v>135</v>
      </c>
      <c r="V73" s="4" t="s">
        <v>264</v>
      </c>
    </row>
    <row r="74" spans="1:24" s="40" customFormat="1" ht="45" customHeight="1" x14ac:dyDescent="0.25">
      <c r="A74" s="46" t="s">
        <v>180</v>
      </c>
      <c r="B74" s="58" t="s">
        <v>92</v>
      </c>
      <c r="C74" s="10" t="s">
        <v>443</v>
      </c>
      <c r="D74" s="4" t="s">
        <v>185</v>
      </c>
      <c r="E74" s="40" t="s">
        <v>104</v>
      </c>
      <c r="F74" s="40" t="s">
        <v>49</v>
      </c>
      <c r="G74" s="40" t="s">
        <v>98</v>
      </c>
      <c r="H74" s="40" t="s">
        <v>160</v>
      </c>
      <c r="I74" s="40" t="s">
        <v>52</v>
      </c>
      <c r="J74" s="40" t="s">
        <v>52</v>
      </c>
      <c r="K74" s="40" t="s">
        <v>63</v>
      </c>
      <c r="L74" s="40" t="s">
        <v>110</v>
      </c>
      <c r="M74" s="40" t="s">
        <v>76</v>
      </c>
      <c r="N74" s="40" t="s">
        <v>91</v>
      </c>
      <c r="O74" s="40" t="s">
        <v>52</v>
      </c>
      <c r="P74" s="40" t="s">
        <v>56</v>
      </c>
      <c r="Q74" s="40" t="s">
        <v>55</v>
      </c>
      <c r="R74" s="40" t="s">
        <v>55</v>
      </c>
      <c r="S74" s="40" t="s">
        <v>55</v>
      </c>
      <c r="T74" s="40" t="s">
        <v>56</v>
      </c>
      <c r="V74" s="4"/>
    </row>
    <row r="75" spans="1:24" s="40" customFormat="1" ht="30" customHeight="1" x14ac:dyDescent="0.35">
      <c r="A75" s="42"/>
      <c r="B75" s="58" t="s">
        <v>92</v>
      </c>
      <c r="C75" s="10" t="s">
        <v>587</v>
      </c>
      <c r="D75" s="4" t="s">
        <v>187</v>
      </c>
      <c r="E75" s="40" t="s">
        <v>104</v>
      </c>
      <c r="F75" s="40" t="s">
        <v>49</v>
      </c>
      <c r="G75" s="40" t="s">
        <v>62</v>
      </c>
      <c r="H75" s="40" t="s">
        <v>160</v>
      </c>
      <c r="I75" s="40" t="s">
        <v>63</v>
      </c>
      <c r="J75" s="40" t="s">
        <v>53</v>
      </c>
      <c r="K75" s="40" t="s">
        <v>53</v>
      </c>
      <c r="L75" s="40" t="s">
        <v>69</v>
      </c>
      <c r="M75" s="40" t="s">
        <v>76</v>
      </c>
      <c r="N75" s="40" t="s">
        <v>91</v>
      </c>
      <c r="O75" s="40" t="s">
        <v>52</v>
      </c>
      <c r="P75" s="40" t="s">
        <v>56</v>
      </c>
      <c r="Q75" s="40" t="s">
        <v>56</v>
      </c>
      <c r="R75" s="40" t="s">
        <v>55</v>
      </c>
      <c r="S75" s="40" t="s">
        <v>55</v>
      </c>
      <c r="T75" s="40" t="s">
        <v>56</v>
      </c>
      <c r="U75" s="40" t="s">
        <v>188</v>
      </c>
      <c r="V75" s="4"/>
    </row>
    <row r="76" spans="1:24" s="40" customFormat="1" ht="48.75" customHeight="1" x14ac:dyDescent="0.35">
      <c r="A76" s="42"/>
      <c r="B76" s="58" t="s">
        <v>92</v>
      </c>
      <c r="C76" s="10" t="s">
        <v>453</v>
      </c>
      <c r="D76" s="4" t="s">
        <v>190</v>
      </c>
      <c r="E76" s="40" t="s">
        <v>104</v>
      </c>
      <c r="F76" s="40" t="s">
        <v>49</v>
      </c>
      <c r="G76" s="40" t="s">
        <v>62</v>
      </c>
      <c r="H76" s="40" t="s">
        <v>177</v>
      </c>
      <c r="I76" s="40" t="s">
        <v>79</v>
      </c>
      <c r="J76" s="40" t="s">
        <v>52</v>
      </c>
      <c r="K76" s="40" t="s">
        <v>53</v>
      </c>
      <c r="L76" s="40" t="s">
        <v>69</v>
      </c>
      <c r="M76" s="40" t="s">
        <v>75</v>
      </c>
      <c r="N76" s="40" t="s">
        <v>91</v>
      </c>
      <c r="O76" s="40" t="s">
        <v>52</v>
      </c>
      <c r="P76" s="40" t="s">
        <v>56</v>
      </c>
      <c r="Q76" s="40" t="s">
        <v>55</v>
      </c>
      <c r="R76" s="40" t="s">
        <v>55</v>
      </c>
      <c r="S76" s="40" t="s">
        <v>55</v>
      </c>
      <c r="T76" s="40" t="s">
        <v>56</v>
      </c>
      <c r="U76" s="40" t="s">
        <v>191</v>
      </c>
      <c r="V76" s="4" t="s">
        <v>192</v>
      </c>
    </row>
    <row r="77" spans="1:24" s="40" customFormat="1" ht="30" customHeight="1" x14ac:dyDescent="0.35">
      <c r="A77" s="42"/>
      <c r="B77" s="58" t="s">
        <v>92</v>
      </c>
      <c r="C77" s="10" t="s">
        <v>605</v>
      </c>
      <c r="D77" s="4" t="s">
        <v>194</v>
      </c>
      <c r="E77" s="40" t="s">
        <v>104</v>
      </c>
      <c r="F77" s="40" t="s">
        <v>49</v>
      </c>
      <c r="G77" s="40" t="s">
        <v>62</v>
      </c>
      <c r="H77" s="40" t="s">
        <v>177</v>
      </c>
      <c r="I77" s="40" t="s">
        <v>63</v>
      </c>
      <c r="J77" s="40" t="s">
        <v>53</v>
      </c>
      <c r="K77" s="40" t="s">
        <v>53</v>
      </c>
      <c r="L77" s="40" t="s">
        <v>54</v>
      </c>
      <c r="M77" s="40" t="s">
        <v>76</v>
      </c>
      <c r="N77" s="40" t="s">
        <v>76</v>
      </c>
      <c r="O77" s="40" t="s">
        <v>63</v>
      </c>
      <c r="P77" s="40" t="s">
        <v>56</v>
      </c>
      <c r="Q77" s="40" t="s">
        <v>55</v>
      </c>
      <c r="R77" s="40" t="s">
        <v>55</v>
      </c>
      <c r="S77" s="40" t="s">
        <v>55</v>
      </c>
      <c r="T77" s="40" t="s">
        <v>55</v>
      </c>
      <c r="U77" s="40" t="s">
        <v>83</v>
      </c>
      <c r="V77" s="4"/>
    </row>
    <row r="78" spans="1:24" s="40" customFormat="1" ht="30" customHeight="1" x14ac:dyDescent="0.25">
      <c r="A78" s="46" t="s">
        <v>180</v>
      </c>
      <c r="B78" s="58" t="s">
        <v>92</v>
      </c>
      <c r="C78" s="10" t="s">
        <v>606</v>
      </c>
      <c r="D78" s="4" t="s">
        <v>607</v>
      </c>
      <c r="E78" s="40" t="s">
        <v>48</v>
      </c>
      <c r="F78" s="40" t="s">
        <v>198</v>
      </c>
      <c r="G78" s="40" t="s">
        <v>183</v>
      </c>
      <c r="H78" s="40" t="s">
        <v>51</v>
      </c>
      <c r="I78" s="40" t="s">
        <v>63</v>
      </c>
      <c r="J78" s="40" t="s">
        <v>79</v>
      </c>
      <c r="K78" s="40" t="s">
        <v>53</v>
      </c>
      <c r="L78" s="40" t="s">
        <v>54</v>
      </c>
      <c r="M78" s="40" t="s">
        <v>75</v>
      </c>
      <c r="N78" s="40" t="s">
        <v>53</v>
      </c>
      <c r="O78" s="40" t="s">
        <v>53</v>
      </c>
      <c r="P78" s="40" t="s">
        <v>56</v>
      </c>
      <c r="Q78" s="40" t="s">
        <v>56</v>
      </c>
      <c r="R78" s="40" t="s">
        <v>55</v>
      </c>
      <c r="S78" s="40" t="s">
        <v>55</v>
      </c>
      <c r="T78" s="40" t="s">
        <v>55</v>
      </c>
      <c r="U78" s="40" t="s">
        <v>263</v>
      </c>
      <c r="V78" s="4" t="s">
        <v>608</v>
      </c>
    </row>
    <row r="79" spans="1:24" s="40" customFormat="1" ht="30" customHeight="1" x14ac:dyDescent="0.35">
      <c r="A79" s="42"/>
      <c r="B79" s="58" t="s">
        <v>92</v>
      </c>
      <c r="C79" s="10" t="s">
        <v>609</v>
      </c>
      <c r="D79" s="4" t="s">
        <v>202</v>
      </c>
      <c r="E79" s="40" t="s">
        <v>104</v>
      </c>
      <c r="F79" s="40" t="s">
        <v>61</v>
      </c>
      <c r="G79" s="40" t="s">
        <v>62</v>
      </c>
      <c r="H79" s="40" t="s">
        <v>62</v>
      </c>
      <c r="I79" s="40" t="s">
        <v>63</v>
      </c>
      <c r="J79" s="40" t="s">
        <v>52</v>
      </c>
      <c r="K79" s="40" t="s">
        <v>53</v>
      </c>
      <c r="L79" s="40" t="s">
        <v>54</v>
      </c>
      <c r="M79" s="40" t="s">
        <v>76</v>
      </c>
      <c r="N79" s="40" t="s">
        <v>75</v>
      </c>
      <c r="O79" s="40" t="s">
        <v>63</v>
      </c>
      <c r="P79" s="40" t="s">
        <v>56</v>
      </c>
      <c r="Q79" s="40" t="s">
        <v>55</v>
      </c>
      <c r="R79" s="40" t="s">
        <v>56</v>
      </c>
      <c r="S79" s="40" t="s">
        <v>55</v>
      </c>
      <c r="T79" s="40" t="s">
        <v>55</v>
      </c>
      <c r="V79" s="4" t="s">
        <v>203</v>
      </c>
    </row>
    <row r="80" spans="1:24" s="40" customFormat="1" ht="30" customHeight="1" x14ac:dyDescent="0.35">
      <c r="A80" s="46" t="s">
        <v>180</v>
      </c>
      <c r="B80" s="59" t="s">
        <v>273</v>
      </c>
      <c r="C80" s="10" t="s">
        <v>274</v>
      </c>
      <c r="D80" s="4" t="s">
        <v>275</v>
      </c>
      <c r="E80" s="4" t="s">
        <v>151</v>
      </c>
      <c r="F80" s="4" t="s">
        <v>61</v>
      </c>
      <c r="G80" s="4" t="s">
        <v>62</v>
      </c>
      <c r="H80" s="4" t="s">
        <v>62</v>
      </c>
      <c r="I80" s="4" t="s">
        <v>63</v>
      </c>
      <c r="J80" s="4" t="s">
        <v>52</v>
      </c>
      <c r="K80" s="4" t="s">
        <v>63</v>
      </c>
      <c r="L80" s="4" t="s">
        <v>54</v>
      </c>
      <c r="M80" s="4" t="s">
        <v>76</v>
      </c>
      <c r="N80" s="4" t="s">
        <v>53</v>
      </c>
      <c r="O80" s="4" t="s">
        <v>53</v>
      </c>
      <c r="P80" s="4"/>
      <c r="Q80" s="4" t="s">
        <v>56</v>
      </c>
      <c r="R80" s="4" t="s">
        <v>56</v>
      </c>
      <c r="S80" s="4" t="s">
        <v>56</v>
      </c>
      <c r="T80" s="4" t="s">
        <v>55</v>
      </c>
      <c r="U80" s="2"/>
      <c r="V80" s="2"/>
      <c r="W80"/>
      <c r="X80"/>
    </row>
    <row r="81" spans="1:24" s="40" customFormat="1" ht="30" customHeight="1" x14ac:dyDescent="0.35">
      <c r="A81" s="46" t="s">
        <v>180</v>
      </c>
      <c r="B81" s="59" t="s">
        <v>273</v>
      </c>
      <c r="C81" s="1" t="s">
        <v>277</v>
      </c>
      <c r="D81" s="2" t="s">
        <v>278</v>
      </c>
      <c r="E81" s="4" t="s">
        <v>104</v>
      </c>
      <c r="F81" s="4" t="s">
        <v>61</v>
      </c>
      <c r="G81" s="4" t="s">
        <v>62</v>
      </c>
      <c r="H81" s="4" t="s">
        <v>62</v>
      </c>
      <c r="I81" s="4" t="s">
        <v>63</v>
      </c>
      <c r="J81" s="4" t="s">
        <v>52</v>
      </c>
      <c r="K81" s="4" t="s">
        <v>79</v>
      </c>
      <c r="L81" s="4" t="s">
        <v>54</v>
      </c>
      <c r="M81" s="4" t="s">
        <v>76</v>
      </c>
      <c r="N81" s="4" t="s">
        <v>53</v>
      </c>
      <c r="O81" s="4" t="s">
        <v>53</v>
      </c>
      <c r="P81" s="4"/>
      <c r="Q81" s="4" t="s">
        <v>55</v>
      </c>
      <c r="R81" s="4" t="s">
        <v>56</v>
      </c>
      <c r="S81" s="4" t="s">
        <v>56</v>
      </c>
      <c r="T81" s="4" t="s">
        <v>55</v>
      </c>
      <c r="U81" s="2"/>
      <c r="V81" s="2"/>
      <c r="W81"/>
      <c r="X81"/>
    </row>
    <row r="82" spans="1:24" s="40" customFormat="1" ht="30" customHeight="1" x14ac:dyDescent="0.35">
      <c r="A82" s="42"/>
      <c r="B82" s="59" t="s">
        <v>279</v>
      </c>
      <c r="C82" s="10" t="s">
        <v>280</v>
      </c>
      <c r="D82" s="4" t="s">
        <v>281</v>
      </c>
      <c r="E82" s="4" t="s">
        <v>48</v>
      </c>
      <c r="F82" s="4" t="s">
        <v>61</v>
      </c>
      <c r="G82" s="4" t="s">
        <v>62</v>
      </c>
      <c r="H82" s="4" t="s">
        <v>62</v>
      </c>
      <c r="I82" s="4" t="s">
        <v>52</v>
      </c>
      <c r="J82" s="4" t="s">
        <v>52</v>
      </c>
      <c r="K82" s="4" t="s">
        <v>52</v>
      </c>
      <c r="L82" s="4" t="s">
        <v>69</v>
      </c>
      <c r="M82" s="4" t="s">
        <v>76</v>
      </c>
      <c r="N82" s="4" t="s">
        <v>53</v>
      </c>
      <c r="O82" s="4" t="s">
        <v>53</v>
      </c>
      <c r="P82" s="4" t="s">
        <v>55</v>
      </c>
      <c r="Q82" s="4" t="s">
        <v>56</v>
      </c>
      <c r="R82" s="4" t="s">
        <v>56</v>
      </c>
      <c r="S82" s="4" t="s">
        <v>55</v>
      </c>
      <c r="T82" s="4" t="s">
        <v>55</v>
      </c>
      <c r="U82" s="2"/>
      <c r="V82" s="2"/>
      <c r="W82"/>
      <c r="X82"/>
    </row>
    <row r="83" spans="1:24" s="40" customFormat="1" ht="30" customHeight="1" x14ac:dyDescent="0.35">
      <c r="A83" s="42"/>
      <c r="B83" s="59" t="s">
        <v>279</v>
      </c>
      <c r="C83" s="1" t="s">
        <v>283</v>
      </c>
      <c r="D83" s="2" t="s">
        <v>284</v>
      </c>
      <c r="E83" s="4" t="s">
        <v>48</v>
      </c>
      <c r="F83" s="4" t="s">
        <v>61</v>
      </c>
      <c r="G83" s="4" t="s">
        <v>62</v>
      </c>
      <c r="H83" s="4" t="s">
        <v>62</v>
      </c>
      <c r="I83" s="4" t="s">
        <v>63</v>
      </c>
      <c r="J83" s="4" t="s">
        <v>63</v>
      </c>
      <c r="K83" s="4" t="s">
        <v>63</v>
      </c>
      <c r="L83" s="4" t="s">
        <v>54</v>
      </c>
      <c r="M83" s="4" t="s">
        <v>76</v>
      </c>
      <c r="N83" s="4" t="s">
        <v>53</v>
      </c>
      <c r="O83" s="4" t="s">
        <v>53</v>
      </c>
      <c r="P83" s="4" t="s">
        <v>55</v>
      </c>
      <c r="Q83" s="4" t="s">
        <v>56</v>
      </c>
      <c r="R83" s="4" t="s">
        <v>56</v>
      </c>
      <c r="S83" s="4" t="s">
        <v>55</v>
      </c>
      <c r="T83" s="4" t="s">
        <v>55</v>
      </c>
      <c r="U83" s="2"/>
      <c r="V83" s="2"/>
      <c r="W83"/>
      <c r="X83"/>
    </row>
    <row r="84" spans="1:24" s="40" customFormat="1" ht="30" customHeight="1" x14ac:dyDescent="0.35">
      <c r="A84" s="42"/>
      <c r="B84" s="59" t="s">
        <v>279</v>
      </c>
      <c r="C84" s="1" t="s">
        <v>285</v>
      </c>
      <c r="D84" s="2" t="s">
        <v>286</v>
      </c>
      <c r="E84" s="4" t="s">
        <v>104</v>
      </c>
      <c r="F84" s="4" t="s">
        <v>61</v>
      </c>
      <c r="G84" s="4" t="s">
        <v>50</v>
      </c>
      <c r="H84" s="4" t="s">
        <v>287</v>
      </c>
      <c r="I84" s="4" t="s">
        <v>63</v>
      </c>
      <c r="J84" s="4" t="s">
        <v>52</v>
      </c>
      <c r="K84" s="4" t="s">
        <v>52</v>
      </c>
      <c r="L84" s="4" t="s">
        <v>69</v>
      </c>
      <c r="M84" s="4" t="s">
        <v>76</v>
      </c>
      <c r="N84" s="4" t="s">
        <v>53</v>
      </c>
      <c r="O84" s="4" t="s">
        <v>53</v>
      </c>
      <c r="P84" s="4" t="s">
        <v>55</v>
      </c>
      <c r="Q84" s="4" t="s">
        <v>56</v>
      </c>
      <c r="R84" s="4" t="s">
        <v>56</v>
      </c>
      <c r="S84" s="4" t="s">
        <v>55</v>
      </c>
      <c r="T84" s="4" t="s">
        <v>55</v>
      </c>
      <c r="U84" s="2"/>
      <c r="V84" s="2"/>
      <c r="W84"/>
      <c r="X84"/>
    </row>
    <row r="85" spans="1:24" s="40" customFormat="1" ht="30" customHeight="1" x14ac:dyDescent="0.35">
      <c r="A85" s="46" t="s">
        <v>180</v>
      </c>
      <c r="B85" s="60" t="s">
        <v>290</v>
      </c>
      <c r="C85" s="10" t="s">
        <v>291</v>
      </c>
      <c r="D85" s="2" t="s">
        <v>292</v>
      </c>
      <c r="E85" s="4" t="s">
        <v>48</v>
      </c>
      <c r="F85" s="4" t="s">
        <v>49</v>
      </c>
      <c r="G85" s="4" t="s">
        <v>62</v>
      </c>
      <c r="H85" s="4" t="s">
        <v>62</v>
      </c>
      <c r="I85" s="4" t="s">
        <v>63</v>
      </c>
      <c r="J85" s="4" t="s">
        <v>52</v>
      </c>
      <c r="K85" s="4" t="s">
        <v>52</v>
      </c>
      <c r="L85" s="4" t="s">
        <v>54</v>
      </c>
      <c r="M85" s="4" t="s">
        <v>76</v>
      </c>
      <c r="N85" s="4" t="s">
        <v>53</v>
      </c>
      <c r="O85" s="4" t="s">
        <v>53</v>
      </c>
      <c r="P85" s="4" t="s">
        <v>55</v>
      </c>
      <c r="Q85" s="4" t="s">
        <v>56</v>
      </c>
      <c r="R85" s="4" t="s">
        <v>55</v>
      </c>
      <c r="S85" s="4" t="s">
        <v>55</v>
      </c>
      <c r="T85" s="4" t="s">
        <v>56</v>
      </c>
      <c r="U85" s="4"/>
      <c r="V85" s="2"/>
      <c r="W85"/>
      <c r="X85"/>
    </row>
    <row r="86" spans="1:24" s="40" customFormat="1" ht="51.75" customHeight="1" x14ac:dyDescent="0.35">
      <c r="A86" s="50"/>
      <c r="B86" s="60" t="s">
        <v>290</v>
      </c>
      <c r="C86" s="10" t="s">
        <v>293</v>
      </c>
      <c r="D86" s="4" t="s">
        <v>294</v>
      </c>
      <c r="E86" s="40" t="s">
        <v>104</v>
      </c>
      <c r="G86" s="40" t="s">
        <v>62</v>
      </c>
      <c r="H86" s="40" t="s">
        <v>62</v>
      </c>
      <c r="I86" s="40" t="s">
        <v>63</v>
      </c>
      <c r="J86" s="40" t="s">
        <v>52</v>
      </c>
      <c r="K86" s="40" t="s">
        <v>52</v>
      </c>
      <c r="L86" s="40" t="s">
        <v>54</v>
      </c>
      <c r="M86" s="40" t="s">
        <v>76</v>
      </c>
      <c r="N86" s="40" t="s">
        <v>53</v>
      </c>
      <c r="O86" s="40" t="s">
        <v>53</v>
      </c>
      <c r="P86" s="40" t="s">
        <v>55</v>
      </c>
      <c r="Q86" s="40" t="s">
        <v>56</v>
      </c>
      <c r="R86" s="40" t="s">
        <v>55</v>
      </c>
      <c r="S86" s="40" t="s">
        <v>55</v>
      </c>
      <c r="T86" s="40" t="s">
        <v>56</v>
      </c>
      <c r="V86" s="4" t="s">
        <v>295</v>
      </c>
    </row>
    <row r="87" spans="1:24" s="40" customFormat="1" ht="33.75" customHeight="1" x14ac:dyDescent="0.35">
      <c r="A87" s="46" t="s">
        <v>180</v>
      </c>
      <c r="B87" s="61" t="s">
        <v>57</v>
      </c>
      <c r="C87" s="10" t="s">
        <v>297</v>
      </c>
      <c r="D87" s="2" t="s">
        <v>298</v>
      </c>
      <c r="E87" s="4" t="s">
        <v>48</v>
      </c>
      <c r="F87" s="4" t="s">
        <v>49</v>
      </c>
      <c r="G87" s="4" t="s">
        <v>62</v>
      </c>
      <c r="H87" s="4" t="s">
        <v>177</v>
      </c>
      <c r="I87" s="4" t="s">
        <v>52</v>
      </c>
      <c r="J87" s="4" t="s">
        <v>53</v>
      </c>
      <c r="K87" s="4" t="s">
        <v>63</v>
      </c>
      <c r="L87" s="4" t="s">
        <v>69</v>
      </c>
      <c r="M87" s="4" t="s">
        <v>299</v>
      </c>
      <c r="N87" s="4" t="s">
        <v>53</v>
      </c>
      <c r="O87" s="4" t="s">
        <v>53</v>
      </c>
      <c r="P87" s="4" t="s">
        <v>55</v>
      </c>
      <c r="Q87" s="4" t="s">
        <v>56</v>
      </c>
      <c r="R87" s="4" t="s">
        <v>55</v>
      </c>
      <c r="S87" s="4" t="s">
        <v>55</v>
      </c>
      <c r="T87" s="4" t="s">
        <v>56</v>
      </c>
      <c r="U87" s="4"/>
      <c r="V87" s="2"/>
      <c r="W87"/>
      <c r="X87"/>
    </row>
    <row r="88" spans="1:24" s="40" customFormat="1" ht="54.75" customHeight="1" x14ac:dyDescent="0.25">
      <c r="A88" s="46" t="s">
        <v>180</v>
      </c>
      <c r="B88" s="61" t="s">
        <v>57</v>
      </c>
      <c r="C88" s="10" t="s">
        <v>301</v>
      </c>
      <c r="D88" s="4" t="s">
        <v>302</v>
      </c>
      <c r="E88" s="40" t="s">
        <v>87</v>
      </c>
      <c r="F88" s="40" t="s">
        <v>49</v>
      </c>
      <c r="G88" s="40" t="s">
        <v>50</v>
      </c>
      <c r="H88" s="40" t="s">
        <v>303</v>
      </c>
      <c r="I88" s="40" t="s">
        <v>52</v>
      </c>
      <c r="J88" s="40" t="s">
        <v>63</v>
      </c>
      <c r="K88" s="40" t="s">
        <v>79</v>
      </c>
      <c r="L88" s="40" t="s">
        <v>69</v>
      </c>
      <c r="M88" s="40" t="s">
        <v>53</v>
      </c>
      <c r="N88" s="40" t="s">
        <v>53</v>
      </c>
      <c r="O88" s="40" t="s">
        <v>53</v>
      </c>
      <c r="P88" s="40" t="s">
        <v>55</v>
      </c>
      <c r="Q88" s="40" t="s">
        <v>56</v>
      </c>
      <c r="R88" s="40" t="s">
        <v>55</v>
      </c>
      <c r="S88" s="40" t="s">
        <v>55</v>
      </c>
      <c r="T88" s="40" t="s">
        <v>56</v>
      </c>
      <c r="V88" s="4"/>
    </row>
    <row r="89" spans="1:24" s="40" customFormat="1" ht="30" customHeight="1" x14ac:dyDescent="0.25">
      <c r="A89" s="46" t="s">
        <v>180</v>
      </c>
      <c r="B89" s="61" t="s">
        <v>57</v>
      </c>
      <c r="C89" s="10" t="s">
        <v>304</v>
      </c>
      <c r="D89" s="4" t="s">
        <v>305</v>
      </c>
      <c r="E89" s="40" t="s">
        <v>87</v>
      </c>
      <c r="F89" s="40" t="s">
        <v>49</v>
      </c>
      <c r="G89" s="40" t="s">
        <v>62</v>
      </c>
      <c r="H89" s="40" t="s">
        <v>303</v>
      </c>
      <c r="I89" s="40" t="s">
        <v>52</v>
      </c>
      <c r="J89" s="40" t="s">
        <v>52</v>
      </c>
      <c r="K89" s="40" t="s">
        <v>79</v>
      </c>
      <c r="L89" s="40" t="s">
        <v>69</v>
      </c>
      <c r="M89" s="40" t="s">
        <v>53</v>
      </c>
      <c r="N89" s="40" t="s">
        <v>53</v>
      </c>
      <c r="O89" s="40" t="s">
        <v>53</v>
      </c>
      <c r="P89" s="40" t="s">
        <v>55</v>
      </c>
      <c r="Q89" s="40" t="s">
        <v>56</v>
      </c>
      <c r="R89" s="40" t="s">
        <v>55</v>
      </c>
      <c r="S89" s="40" t="s">
        <v>55</v>
      </c>
      <c r="T89" s="40" t="s">
        <v>56</v>
      </c>
      <c r="V89" s="4"/>
    </row>
    <row r="90" spans="1:24" s="40" customFormat="1" ht="30" customHeight="1" x14ac:dyDescent="0.35">
      <c r="A90" s="50"/>
      <c r="B90" s="61" t="s">
        <v>57</v>
      </c>
      <c r="C90" s="10" t="s">
        <v>306</v>
      </c>
      <c r="D90" s="4" t="s">
        <v>307</v>
      </c>
      <c r="E90" s="40" t="s">
        <v>48</v>
      </c>
      <c r="F90" s="40" t="s">
        <v>49</v>
      </c>
      <c r="G90" s="40" t="s">
        <v>50</v>
      </c>
      <c r="H90" s="40" t="s">
        <v>62</v>
      </c>
      <c r="I90" s="40" t="s">
        <v>63</v>
      </c>
      <c r="J90" s="40" t="s">
        <v>52</v>
      </c>
      <c r="K90" s="40" t="s">
        <v>52</v>
      </c>
      <c r="L90" s="40" t="s">
        <v>54</v>
      </c>
      <c r="M90" s="40" t="s">
        <v>53</v>
      </c>
      <c r="N90" s="40" t="s">
        <v>53</v>
      </c>
      <c r="O90" s="40" t="s">
        <v>53</v>
      </c>
      <c r="P90" s="40" t="s">
        <v>55</v>
      </c>
      <c r="Q90" s="40" t="s">
        <v>55</v>
      </c>
      <c r="R90" s="40" t="s">
        <v>55</v>
      </c>
      <c r="S90" s="40" t="s">
        <v>55</v>
      </c>
      <c r="T90" s="40" t="s">
        <v>55</v>
      </c>
      <c r="V90" s="4"/>
    </row>
    <row r="91" spans="1:24" s="40" customFormat="1" ht="29" x14ac:dyDescent="0.35">
      <c r="A91" s="50"/>
      <c r="B91" s="61" t="s">
        <v>57</v>
      </c>
      <c r="C91" s="10" t="s">
        <v>308</v>
      </c>
      <c r="D91" s="4" t="s">
        <v>309</v>
      </c>
      <c r="E91" s="40" t="s">
        <v>87</v>
      </c>
      <c r="F91" s="40" t="s">
        <v>219</v>
      </c>
      <c r="G91" s="40" t="s">
        <v>62</v>
      </c>
      <c r="H91" s="40" t="s">
        <v>62</v>
      </c>
      <c r="I91" s="40" t="s">
        <v>52</v>
      </c>
      <c r="J91" s="40" t="s">
        <v>79</v>
      </c>
      <c r="K91" s="40" t="s">
        <v>79</v>
      </c>
      <c r="L91" s="40" t="s">
        <v>110</v>
      </c>
      <c r="M91" s="40" t="s">
        <v>53</v>
      </c>
      <c r="N91" s="40" t="s">
        <v>53</v>
      </c>
      <c r="O91" s="40" t="s">
        <v>53</v>
      </c>
      <c r="P91" s="40" t="s">
        <v>56</v>
      </c>
      <c r="Q91" s="40" t="s">
        <v>56</v>
      </c>
      <c r="R91" s="40" t="s">
        <v>55</v>
      </c>
      <c r="S91" s="40" t="s">
        <v>55</v>
      </c>
      <c r="T91" s="40" t="s">
        <v>56</v>
      </c>
      <c r="U91" s="40" t="s">
        <v>317</v>
      </c>
      <c r="V91" s="4"/>
    </row>
    <row r="92" spans="1:24" s="40" customFormat="1" ht="30" customHeight="1" x14ac:dyDescent="0.35">
      <c r="A92" s="46" t="s">
        <v>180</v>
      </c>
      <c r="B92" s="62" t="s">
        <v>146</v>
      </c>
      <c r="C92" s="10" t="s">
        <v>51</v>
      </c>
      <c r="D92" s="2" t="s">
        <v>316</v>
      </c>
      <c r="E92" s="4" t="s">
        <v>87</v>
      </c>
      <c r="F92" s="4" t="s">
        <v>61</v>
      </c>
      <c r="G92" s="4" t="s">
        <v>73</v>
      </c>
      <c r="H92" s="4" t="s">
        <v>74</v>
      </c>
      <c r="I92" s="4" t="s">
        <v>79</v>
      </c>
      <c r="J92" s="4" t="s">
        <v>52</v>
      </c>
      <c r="K92" s="4" t="s">
        <v>52</v>
      </c>
      <c r="L92" s="4" t="s">
        <v>69</v>
      </c>
      <c r="M92" s="4" t="s">
        <v>76</v>
      </c>
      <c r="N92" s="4" t="s">
        <v>76</v>
      </c>
      <c r="O92" s="4" t="s">
        <v>53</v>
      </c>
      <c r="P92" s="4"/>
      <c r="Q92" s="4" t="s">
        <v>56</v>
      </c>
      <c r="R92" s="4" t="s">
        <v>56</v>
      </c>
      <c r="S92" s="4" t="s">
        <v>56</v>
      </c>
      <c r="T92" s="4" t="s">
        <v>56</v>
      </c>
      <c r="U92" s="4"/>
      <c r="V92" s="2"/>
      <c r="W92"/>
      <c r="X92"/>
    </row>
    <row r="93" spans="1:24" s="40" customFormat="1" ht="30" customHeight="1" x14ac:dyDescent="0.25">
      <c r="A93" s="46" t="s">
        <v>180</v>
      </c>
      <c r="B93" s="62" t="s">
        <v>146</v>
      </c>
      <c r="C93" s="10" t="s">
        <v>129</v>
      </c>
      <c r="D93" s="4" t="s">
        <v>318</v>
      </c>
      <c r="E93" s="40" t="s">
        <v>104</v>
      </c>
      <c r="F93" s="40" t="s">
        <v>138</v>
      </c>
      <c r="G93" s="40" t="s">
        <v>73</v>
      </c>
      <c r="H93" s="40" t="s">
        <v>74</v>
      </c>
      <c r="I93" s="40" t="s">
        <v>52</v>
      </c>
      <c r="J93" s="40" t="s">
        <v>52</v>
      </c>
      <c r="K93" s="40" t="s">
        <v>63</v>
      </c>
      <c r="L93" s="40" t="s">
        <v>110</v>
      </c>
      <c r="M93" s="40" t="s">
        <v>76</v>
      </c>
      <c r="N93" s="40" t="s">
        <v>76</v>
      </c>
      <c r="O93" s="40" t="s">
        <v>53</v>
      </c>
      <c r="Q93" s="40" t="s">
        <v>56</v>
      </c>
      <c r="R93" s="40" t="s">
        <v>55</v>
      </c>
      <c r="S93" s="40" t="s">
        <v>55</v>
      </c>
      <c r="T93" s="40" t="s">
        <v>56</v>
      </c>
      <c r="V93" s="4"/>
    </row>
    <row r="94" spans="1:24" s="40" customFormat="1" ht="30" customHeight="1" x14ac:dyDescent="0.35">
      <c r="A94" s="50"/>
      <c r="B94" s="62" t="s">
        <v>146</v>
      </c>
      <c r="C94" s="10" t="s">
        <v>115</v>
      </c>
      <c r="D94" s="4" t="s">
        <v>319</v>
      </c>
      <c r="E94" s="40" t="s">
        <v>104</v>
      </c>
      <c r="F94" s="40" t="s">
        <v>61</v>
      </c>
      <c r="G94" s="40" t="s">
        <v>73</v>
      </c>
      <c r="I94" s="40" t="s">
        <v>63</v>
      </c>
      <c r="J94" s="40" t="s">
        <v>63</v>
      </c>
      <c r="K94" s="40" t="s">
        <v>79</v>
      </c>
      <c r="L94" s="40" t="s">
        <v>54</v>
      </c>
      <c r="M94" s="40" t="s">
        <v>53</v>
      </c>
      <c r="N94" s="40" t="s">
        <v>53</v>
      </c>
      <c r="O94" s="40" t="s">
        <v>53</v>
      </c>
      <c r="P94" s="40" t="s">
        <v>55</v>
      </c>
      <c r="Q94" s="40" t="s">
        <v>55</v>
      </c>
      <c r="R94" s="40" t="s">
        <v>55</v>
      </c>
      <c r="S94" s="40" t="s">
        <v>56</v>
      </c>
      <c r="T94" s="40" t="s">
        <v>55</v>
      </c>
      <c r="U94" s="40" t="s">
        <v>317</v>
      </c>
      <c r="V94" s="4"/>
    </row>
    <row r="95" spans="1:24" s="40" customFormat="1" ht="87" x14ac:dyDescent="0.35">
      <c r="A95" s="50"/>
      <c r="B95" s="62" t="s">
        <v>146</v>
      </c>
      <c r="C95" s="10" t="s">
        <v>107</v>
      </c>
      <c r="D95" s="4" t="s">
        <v>320</v>
      </c>
      <c r="E95" s="40" t="s">
        <v>104</v>
      </c>
      <c r="F95" s="40" t="s">
        <v>49</v>
      </c>
      <c r="G95" s="40" t="s">
        <v>73</v>
      </c>
      <c r="I95" s="40" t="s">
        <v>52</v>
      </c>
      <c r="J95" s="40" t="s">
        <v>52</v>
      </c>
      <c r="K95" s="40" t="s">
        <v>63</v>
      </c>
      <c r="L95" s="40" t="s">
        <v>69</v>
      </c>
      <c r="M95" s="40" t="s">
        <v>76</v>
      </c>
      <c r="N95" s="40" t="s">
        <v>76</v>
      </c>
      <c r="O95" s="40" t="s">
        <v>53</v>
      </c>
      <c r="P95" s="40" t="s">
        <v>56</v>
      </c>
      <c r="Q95" s="40" t="s">
        <v>55</v>
      </c>
      <c r="R95" s="40" t="s">
        <v>55</v>
      </c>
      <c r="S95" s="40" t="s">
        <v>55</v>
      </c>
      <c r="T95" s="40" t="s">
        <v>56</v>
      </c>
      <c r="U95" s="40" t="s">
        <v>135</v>
      </c>
      <c r="V95" s="4"/>
    </row>
    <row r="96" spans="1:24" s="40" customFormat="1" ht="90.75" customHeight="1" x14ac:dyDescent="0.35">
      <c r="A96" s="50" t="s">
        <v>610</v>
      </c>
      <c r="B96" s="62" t="s">
        <v>146</v>
      </c>
      <c r="C96" s="10" t="s">
        <v>321</v>
      </c>
      <c r="D96" s="4" t="s">
        <v>322</v>
      </c>
      <c r="E96" s="40" t="s">
        <v>48</v>
      </c>
      <c r="F96" s="40" t="s">
        <v>61</v>
      </c>
      <c r="G96" s="40" t="s">
        <v>73</v>
      </c>
      <c r="I96" s="40" t="s">
        <v>52</v>
      </c>
      <c r="J96" s="40" t="s">
        <v>63</v>
      </c>
      <c r="K96" s="40" t="s">
        <v>63</v>
      </c>
      <c r="L96" s="40" t="s">
        <v>54</v>
      </c>
      <c r="M96" s="40" t="s">
        <v>75</v>
      </c>
      <c r="N96" s="40" t="s">
        <v>76</v>
      </c>
      <c r="O96" s="40" t="s">
        <v>53</v>
      </c>
      <c r="P96" s="40" t="s">
        <v>56</v>
      </c>
      <c r="Q96" s="40" t="s">
        <v>56</v>
      </c>
      <c r="R96" s="40" t="s">
        <v>55</v>
      </c>
      <c r="S96" s="40" t="s">
        <v>55</v>
      </c>
      <c r="T96" s="40" t="s">
        <v>56</v>
      </c>
      <c r="U96" s="40" t="s">
        <v>323</v>
      </c>
      <c r="V96" s="4"/>
    </row>
    <row r="97" spans="1:24" s="40" customFormat="1" ht="30" customHeight="1" x14ac:dyDescent="0.35">
      <c r="A97" s="50"/>
      <c r="B97" s="62" t="s">
        <v>146</v>
      </c>
      <c r="C97" s="10" t="s">
        <v>324</v>
      </c>
      <c r="D97" s="4" t="s">
        <v>325</v>
      </c>
      <c r="E97" s="40" t="s">
        <v>104</v>
      </c>
      <c r="F97" s="40" t="s">
        <v>49</v>
      </c>
      <c r="G97" s="40" t="s">
        <v>73</v>
      </c>
      <c r="I97" s="40" t="s">
        <v>63</v>
      </c>
      <c r="J97" s="40" t="s">
        <v>63</v>
      </c>
      <c r="K97" s="40" t="s">
        <v>53</v>
      </c>
      <c r="L97" s="40" t="s">
        <v>54</v>
      </c>
      <c r="M97" s="40" t="s">
        <v>76</v>
      </c>
      <c r="N97" s="40" t="s">
        <v>53</v>
      </c>
      <c r="O97" s="40" t="s">
        <v>53</v>
      </c>
      <c r="P97" s="40" t="s">
        <v>56</v>
      </c>
      <c r="Q97" s="40" t="s">
        <v>56</v>
      </c>
      <c r="R97" s="40" t="s">
        <v>55</v>
      </c>
      <c r="S97" s="40" t="s">
        <v>55</v>
      </c>
      <c r="T97" s="40" t="s">
        <v>55</v>
      </c>
      <c r="V97" s="4"/>
    </row>
    <row r="98" spans="1:24" s="40" customFormat="1" ht="46.5" customHeight="1" x14ac:dyDescent="0.35">
      <c r="A98" s="44"/>
      <c r="B98" s="63" t="s">
        <v>83</v>
      </c>
      <c r="C98" s="10" t="s">
        <v>326</v>
      </c>
      <c r="D98" s="4" t="s">
        <v>327</v>
      </c>
      <c r="E98" s="4" t="s">
        <v>48</v>
      </c>
      <c r="F98" s="4" t="s">
        <v>61</v>
      </c>
      <c r="G98" s="4" t="s">
        <v>62</v>
      </c>
      <c r="H98" s="4" t="s">
        <v>62</v>
      </c>
      <c r="I98" s="4" t="s">
        <v>63</v>
      </c>
      <c r="J98" s="4" t="s">
        <v>52</v>
      </c>
      <c r="K98" s="4" t="s">
        <v>53</v>
      </c>
      <c r="L98" s="4" t="s">
        <v>54</v>
      </c>
      <c r="M98" s="4" t="s">
        <v>75</v>
      </c>
      <c r="N98" s="4" t="s">
        <v>75</v>
      </c>
      <c r="O98" s="4" t="s">
        <v>63</v>
      </c>
      <c r="P98" s="4" t="s">
        <v>56</v>
      </c>
      <c r="Q98" s="4" t="s">
        <v>56</v>
      </c>
      <c r="R98" s="4" t="s">
        <v>56</v>
      </c>
      <c r="S98" s="4" t="s">
        <v>55</v>
      </c>
      <c r="T98" s="4" t="s">
        <v>55</v>
      </c>
      <c r="U98" t="s">
        <v>328</v>
      </c>
      <c r="V98" s="4" t="s">
        <v>329</v>
      </c>
      <c r="W98"/>
      <c r="X98"/>
    </row>
    <row r="99" spans="1:24" s="40" customFormat="1" ht="45" customHeight="1" x14ac:dyDescent="0.35">
      <c r="A99" s="44"/>
      <c r="B99" s="63" t="s">
        <v>83</v>
      </c>
      <c r="C99" s="10" t="s">
        <v>330</v>
      </c>
      <c r="D99" s="4" t="s">
        <v>331</v>
      </c>
      <c r="E99" s="4" t="s">
        <v>104</v>
      </c>
      <c r="F99" s="4" t="s">
        <v>61</v>
      </c>
      <c r="G99" s="4" t="s">
        <v>62</v>
      </c>
      <c r="H99" s="4" t="s">
        <v>62</v>
      </c>
      <c r="I99" s="4" t="s">
        <v>52</v>
      </c>
      <c r="J99" s="4" t="s">
        <v>53</v>
      </c>
      <c r="K99" s="4" t="s">
        <v>53</v>
      </c>
      <c r="L99" s="4" t="s">
        <v>69</v>
      </c>
      <c r="M99" s="4" t="s">
        <v>75</v>
      </c>
      <c r="N99" s="4" t="s">
        <v>75</v>
      </c>
      <c r="O99" s="4" t="s">
        <v>52</v>
      </c>
      <c r="P99" s="4" t="s">
        <v>56</v>
      </c>
      <c r="Q99" s="4" t="s">
        <v>56</v>
      </c>
      <c r="R99" s="4" t="s">
        <v>55</v>
      </c>
      <c r="S99" s="4" t="s">
        <v>55</v>
      </c>
      <c r="T99" s="4" t="s">
        <v>55</v>
      </c>
      <c r="U99" s="4" t="s">
        <v>328</v>
      </c>
      <c r="V99" s="4" t="s">
        <v>332</v>
      </c>
      <c r="W99"/>
      <c r="X99"/>
    </row>
    <row r="100" spans="1:24" s="40" customFormat="1" ht="48.75" customHeight="1" x14ac:dyDescent="0.35">
      <c r="A100" s="44"/>
      <c r="B100" s="63" t="s">
        <v>83</v>
      </c>
      <c r="C100" s="10" t="s">
        <v>333</v>
      </c>
      <c r="D100" s="4" t="s">
        <v>334</v>
      </c>
      <c r="E100" s="4" t="s">
        <v>48</v>
      </c>
      <c r="F100" s="4" t="s">
        <v>61</v>
      </c>
      <c r="G100" s="4" t="s">
        <v>62</v>
      </c>
      <c r="H100" s="4" t="s">
        <v>62</v>
      </c>
      <c r="I100" s="4" t="s">
        <v>79</v>
      </c>
      <c r="J100" s="4" t="s">
        <v>79</v>
      </c>
      <c r="K100" s="4" t="s">
        <v>53</v>
      </c>
      <c r="L100" s="4" t="s">
        <v>69</v>
      </c>
      <c r="M100" s="4" t="s">
        <v>75</v>
      </c>
      <c r="N100" s="4" t="s">
        <v>75</v>
      </c>
      <c r="O100" s="4" t="s">
        <v>63</v>
      </c>
      <c r="P100" s="4" t="s">
        <v>56</v>
      </c>
      <c r="Q100" s="4" t="s">
        <v>56</v>
      </c>
      <c r="R100" s="4" t="s">
        <v>55</v>
      </c>
      <c r="S100" s="4" t="s">
        <v>55</v>
      </c>
      <c r="T100" s="4" t="s">
        <v>55</v>
      </c>
      <c r="U100" s="4" t="s">
        <v>335</v>
      </c>
      <c r="V100" s="4" t="s">
        <v>336</v>
      </c>
      <c r="W100"/>
      <c r="X100"/>
    </row>
    <row r="101" spans="1:24" s="40" customFormat="1" ht="30" customHeight="1" x14ac:dyDescent="0.35">
      <c r="A101" s="44"/>
      <c r="B101" s="63" t="s">
        <v>83</v>
      </c>
      <c r="C101" s="10" t="s">
        <v>337</v>
      </c>
      <c r="D101" s="4" t="s">
        <v>338</v>
      </c>
      <c r="E101" s="4" t="s">
        <v>151</v>
      </c>
      <c r="F101" s="4" t="s">
        <v>61</v>
      </c>
      <c r="G101" s="4" t="s">
        <v>62</v>
      </c>
      <c r="H101" s="4" t="s">
        <v>62</v>
      </c>
      <c r="I101" s="4" t="s">
        <v>63</v>
      </c>
      <c r="J101" s="4" t="s">
        <v>63</v>
      </c>
      <c r="K101" s="4" t="s">
        <v>53</v>
      </c>
      <c r="L101" s="4" t="s">
        <v>69</v>
      </c>
      <c r="M101" s="4" t="s">
        <v>53</v>
      </c>
      <c r="N101" s="4" t="s">
        <v>53</v>
      </c>
      <c r="O101" s="4" t="s">
        <v>63</v>
      </c>
      <c r="P101" s="4" t="s">
        <v>55</v>
      </c>
      <c r="Q101" s="4" t="s">
        <v>55</v>
      </c>
      <c r="R101" s="4" t="s">
        <v>55</v>
      </c>
      <c r="S101" s="4" t="s">
        <v>55</v>
      </c>
      <c r="T101" s="4" t="s">
        <v>55</v>
      </c>
      <c r="U101" s="4" t="s">
        <v>335</v>
      </c>
      <c r="V101" s="4" t="s">
        <v>339</v>
      </c>
      <c r="W101"/>
      <c r="X101"/>
    </row>
    <row r="102" spans="1:24" s="40" customFormat="1" ht="30" customHeight="1" x14ac:dyDescent="0.35">
      <c r="A102" s="44"/>
      <c r="B102" s="63" t="s">
        <v>83</v>
      </c>
      <c r="C102" s="10" t="s">
        <v>340</v>
      </c>
      <c r="D102" s="4" t="s">
        <v>611</v>
      </c>
      <c r="E102" s="4" t="s">
        <v>104</v>
      </c>
      <c r="F102" s="4" t="s">
        <v>49</v>
      </c>
      <c r="G102" s="4" t="s">
        <v>62</v>
      </c>
      <c r="H102" s="4" t="s">
        <v>62</v>
      </c>
      <c r="I102" s="4" t="s">
        <v>79</v>
      </c>
      <c r="J102" s="4" t="s">
        <v>79</v>
      </c>
      <c r="K102" s="4" t="s">
        <v>53</v>
      </c>
      <c r="L102" s="4" t="s">
        <v>110</v>
      </c>
      <c r="M102" s="4" t="s">
        <v>91</v>
      </c>
      <c r="N102" s="4" t="s">
        <v>91</v>
      </c>
      <c r="O102" s="4" t="s">
        <v>52</v>
      </c>
      <c r="P102" s="4" t="s">
        <v>56</v>
      </c>
      <c r="Q102" s="4" t="s">
        <v>56</v>
      </c>
      <c r="R102" s="4" t="s">
        <v>56</v>
      </c>
      <c r="S102" s="4" t="s">
        <v>55</v>
      </c>
      <c r="T102" s="4" t="s">
        <v>56</v>
      </c>
      <c r="U102" s="4" t="s">
        <v>335</v>
      </c>
      <c r="V102" s="4" t="s">
        <v>342</v>
      </c>
      <c r="W102"/>
      <c r="X102"/>
    </row>
    <row r="103" spans="1:24" s="40" customFormat="1" ht="30" customHeight="1" x14ac:dyDescent="0.35">
      <c r="A103" s="44"/>
      <c r="B103" s="63" t="s">
        <v>83</v>
      </c>
      <c r="C103" s="10" t="s">
        <v>343</v>
      </c>
      <c r="D103" s="4" t="s">
        <v>344</v>
      </c>
      <c r="E103" s="4" t="s">
        <v>104</v>
      </c>
      <c r="F103" s="4" t="s">
        <v>49</v>
      </c>
      <c r="G103" s="4" t="s">
        <v>62</v>
      </c>
      <c r="H103" s="4" t="s">
        <v>62</v>
      </c>
      <c r="I103" s="4" t="s">
        <v>79</v>
      </c>
      <c r="J103" s="4" t="s">
        <v>79</v>
      </c>
      <c r="K103" s="4" t="s">
        <v>53</v>
      </c>
      <c r="L103" s="4" t="s">
        <v>110</v>
      </c>
      <c r="M103" s="4"/>
      <c r="N103" s="4" t="s">
        <v>91</v>
      </c>
      <c r="O103" s="4" t="s">
        <v>79</v>
      </c>
      <c r="P103" s="4" t="s">
        <v>56</v>
      </c>
      <c r="Q103" s="4" t="s">
        <v>56</v>
      </c>
      <c r="R103" s="4" t="s">
        <v>56</v>
      </c>
      <c r="S103" s="4" t="s">
        <v>55</v>
      </c>
      <c r="T103" s="4" t="s">
        <v>56</v>
      </c>
      <c r="U103" s="4" t="s">
        <v>335</v>
      </c>
      <c r="V103" s="4" t="s">
        <v>345</v>
      </c>
      <c r="W103"/>
      <c r="X103"/>
    </row>
    <row r="104" spans="1:24" s="40" customFormat="1" ht="30" customHeight="1" x14ac:dyDescent="0.35">
      <c r="A104" s="44"/>
      <c r="B104" s="63" t="s">
        <v>83</v>
      </c>
      <c r="C104" s="10" t="s">
        <v>346</v>
      </c>
      <c r="D104" s="4" t="s">
        <v>347</v>
      </c>
      <c r="E104" s="4" t="s">
        <v>151</v>
      </c>
      <c r="F104" s="4" t="s">
        <v>61</v>
      </c>
      <c r="G104" s="4" t="s">
        <v>50</v>
      </c>
      <c r="H104" s="4" t="s">
        <v>287</v>
      </c>
      <c r="I104" s="4" t="s">
        <v>52</v>
      </c>
      <c r="J104" s="4" t="s">
        <v>63</v>
      </c>
      <c r="K104" s="4" t="s">
        <v>53</v>
      </c>
      <c r="L104" s="4" t="s">
        <v>54</v>
      </c>
      <c r="M104" s="4" t="s">
        <v>53</v>
      </c>
      <c r="N104" s="4" t="s">
        <v>53</v>
      </c>
      <c r="O104" s="4" t="s">
        <v>53</v>
      </c>
      <c r="P104" s="4" t="s">
        <v>55</v>
      </c>
      <c r="Q104" s="4" t="s">
        <v>55</v>
      </c>
      <c r="R104" s="4" t="s">
        <v>55</v>
      </c>
      <c r="S104" s="4" t="s">
        <v>55</v>
      </c>
      <c r="T104" s="4" t="s">
        <v>55</v>
      </c>
      <c r="U104" s="4"/>
      <c r="V104" s="4"/>
      <c r="W104"/>
      <c r="X104"/>
    </row>
    <row r="105" spans="1:24" s="40" customFormat="1" ht="30" customHeight="1" x14ac:dyDescent="0.35">
      <c r="A105" s="46" t="s">
        <v>596</v>
      </c>
      <c r="B105" s="63" t="s">
        <v>83</v>
      </c>
      <c r="C105" s="10" t="s">
        <v>349</v>
      </c>
      <c r="D105" s="53" t="s">
        <v>350</v>
      </c>
      <c r="E105" s="4" t="s">
        <v>104</v>
      </c>
      <c r="F105" s="4" t="s">
        <v>138</v>
      </c>
      <c r="G105" s="4" t="s">
        <v>62</v>
      </c>
      <c r="H105" s="4" t="s">
        <v>62</v>
      </c>
      <c r="I105" s="4" t="s">
        <v>52</v>
      </c>
      <c r="J105" s="4" t="s">
        <v>53</v>
      </c>
      <c r="K105" s="4" t="s">
        <v>53</v>
      </c>
      <c r="L105" s="4" t="s">
        <v>54</v>
      </c>
      <c r="M105" s="4" t="s">
        <v>75</v>
      </c>
      <c r="N105" s="4" t="s">
        <v>75</v>
      </c>
      <c r="O105" s="4" t="s">
        <v>52</v>
      </c>
      <c r="P105" s="4" t="s">
        <v>56</v>
      </c>
      <c r="Q105" s="4" t="s">
        <v>56</v>
      </c>
      <c r="R105" s="4" t="s">
        <v>56</v>
      </c>
      <c r="S105" s="4" t="s">
        <v>55</v>
      </c>
      <c r="T105" s="4"/>
      <c r="U105" s="4" t="s">
        <v>156</v>
      </c>
      <c r="V105" s="4" t="s">
        <v>157</v>
      </c>
      <c r="W105"/>
      <c r="X105"/>
    </row>
    <row r="106" spans="1:24" ht="45" customHeight="1" x14ac:dyDescent="0.35">
      <c r="B106" s="64" t="s">
        <v>351</v>
      </c>
      <c r="C106" s="10" t="s">
        <v>352</v>
      </c>
      <c r="D106" s="2" t="s">
        <v>353</v>
      </c>
      <c r="E106" s="4" t="s">
        <v>151</v>
      </c>
      <c r="F106" s="4" t="s">
        <v>61</v>
      </c>
      <c r="G106" s="4" t="s">
        <v>50</v>
      </c>
      <c r="H106" s="4" t="s">
        <v>287</v>
      </c>
      <c r="I106" s="4" t="s">
        <v>63</v>
      </c>
      <c r="J106" s="4" t="s">
        <v>63</v>
      </c>
      <c r="K106" s="4" t="s">
        <v>53</v>
      </c>
      <c r="L106" s="4" t="s">
        <v>69</v>
      </c>
      <c r="M106" s="4" t="s">
        <v>75</v>
      </c>
      <c r="N106" s="4" t="s">
        <v>75</v>
      </c>
      <c r="O106" s="4" t="s">
        <v>63</v>
      </c>
      <c r="P106" s="4" t="s">
        <v>56</v>
      </c>
      <c r="Q106" s="4" t="s">
        <v>56</v>
      </c>
      <c r="R106" s="4" t="s">
        <v>55</v>
      </c>
      <c r="S106" s="4" t="s">
        <v>55</v>
      </c>
      <c r="T106" s="4" t="s">
        <v>55</v>
      </c>
      <c r="U106" s="4"/>
      <c r="V106" s="4"/>
    </row>
    <row r="107" spans="1:24" s="40" customFormat="1" ht="30" customHeight="1" x14ac:dyDescent="0.35">
      <c r="A107" s="42"/>
      <c r="B107" s="64" t="s">
        <v>351</v>
      </c>
      <c r="C107" s="10" t="s">
        <v>354</v>
      </c>
      <c r="D107" s="2" t="s">
        <v>355</v>
      </c>
      <c r="E107" s="4" t="s">
        <v>48</v>
      </c>
      <c r="F107" s="4" t="s">
        <v>61</v>
      </c>
      <c r="G107" s="4" t="s">
        <v>62</v>
      </c>
      <c r="H107" s="4" t="s">
        <v>62</v>
      </c>
      <c r="I107" s="4" t="s">
        <v>52</v>
      </c>
      <c r="J107" s="4" t="s">
        <v>63</v>
      </c>
      <c r="K107" s="4" t="s">
        <v>53</v>
      </c>
      <c r="L107" s="4" t="s">
        <v>54</v>
      </c>
      <c r="M107" s="4" t="s">
        <v>75</v>
      </c>
      <c r="N107" s="4" t="s">
        <v>75</v>
      </c>
      <c r="O107" s="4" t="s">
        <v>53</v>
      </c>
      <c r="P107" s="4" t="s">
        <v>56</v>
      </c>
      <c r="Q107" s="4" t="s">
        <v>56</v>
      </c>
      <c r="R107" s="4" t="s">
        <v>55</v>
      </c>
      <c r="S107" s="4" t="s">
        <v>55</v>
      </c>
      <c r="T107" s="4" t="s">
        <v>55</v>
      </c>
      <c r="U107" s="4"/>
      <c r="V107" s="4"/>
      <c r="W107"/>
      <c r="X107"/>
    </row>
    <row r="108" spans="1:24" s="40" customFormat="1" ht="28.5" customHeight="1" x14ac:dyDescent="0.35">
      <c r="A108" s="46" t="s">
        <v>180</v>
      </c>
      <c r="B108" s="66" t="s">
        <v>356</v>
      </c>
      <c r="C108" s="10" t="s">
        <v>357</v>
      </c>
      <c r="D108" s="2" t="s">
        <v>358</v>
      </c>
      <c r="E108" s="4" t="s">
        <v>48</v>
      </c>
      <c r="F108" s="4" t="s">
        <v>61</v>
      </c>
      <c r="G108" s="4" t="s">
        <v>74</v>
      </c>
      <c r="H108" s="4" t="s">
        <v>139</v>
      </c>
      <c r="I108" s="4" t="s">
        <v>52</v>
      </c>
      <c r="J108" s="4" t="s">
        <v>52</v>
      </c>
      <c r="K108" s="4" t="s">
        <v>53</v>
      </c>
      <c r="L108" s="4" t="s">
        <v>69</v>
      </c>
      <c r="M108" s="4" t="s">
        <v>76</v>
      </c>
      <c r="N108" s="4" t="s">
        <v>53</v>
      </c>
      <c r="O108" s="4" t="s">
        <v>53</v>
      </c>
      <c r="P108" s="4" t="s">
        <v>55</v>
      </c>
      <c r="Q108" s="4" t="s">
        <v>56</v>
      </c>
      <c r="R108" s="4" t="s">
        <v>56</v>
      </c>
      <c r="S108" s="4" t="s">
        <v>55</v>
      </c>
      <c r="T108" s="4" t="s">
        <v>55</v>
      </c>
      <c r="U108" s="2" t="s">
        <v>92</v>
      </c>
      <c r="V108" s="2" t="s">
        <v>359</v>
      </c>
      <c r="W108"/>
      <c r="X108"/>
    </row>
    <row r="109" spans="1:24" s="40" customFormat="1" ht="43.5" x14ac:dyDescent="0.35">
      <c r="A109" s="42"/>
      <c r="B109" s="66" t="s">
        <v>356</v>
      </c>
      <c r="C109" s="1" t="s">
        <v>360</v>
      </c>
      <c r="D109" s="2" t="s">
        <v>361</v>
      </c>
      <c r="E109" t="s">
        <v>48</v>
      </c>
      <c r="F109" t="s">
        <v>49</v>
      </c>
      <c r="G109" t="s">
        <v>98</v>
      </c>
      <c r="H109" t="s">
        <v>139</v>
      </c>
      <c r="I109" t="s">
        <v>63</v>
      </c>
      <c r="J109" t="s">
        <v>63</v>
      </c>
      <c r="K109" t="s">
        <v>63</v>
      </c>
      <c r="L109" t="s">
        <v>69</v>
      </c>
      <c r="M109" t="s">
        <v>76</v>
      </c>
      <c r="N109" t="s">
        <v>53</v>
      </c>
      <c r="O109" t="s">
        <v>53</v>
      </c>
      <c r="P109" t="s">
        <v>55</v>
      </c>
      <c r="Q109" t="s">
        <v>56</v>
      </c>
      <c r="R109" t="s">
        <v>55</v>
      </c>
      <c r="S109" t="s">
        <v>55</v>
      </c>
      <c r="T109" t="s">
        <v>55</v>
      </c>
      <c r="U109" t="s">
        <v>92</v>
      </c>
      <c r="V109" s="2"/>
      <c r="W109"/>
      <c r="X109"/>
    </row>
    <row r="110" spans="1:24" s="40" customFormat="1" ht="30" customHeight="1" x14ac:dyDescent="0.35">
      <c r="A110" s="42"/>
      <c r="B110" s="66" t="s">
        <v>356</v>
      </c>
      <c r="C110" s="1" t="s">
        <v>362</v>
      </c>
      <c r="D110" s="2" t="s">
        <v>363</v>
      </c>
      <c r="E110" t="s">
        <v>87</v>
      </c>
      <c r="F110" t="s">
        <v>49</v>
      </c>
      <c r="G110" t="s">
        <v>50</v>
      </c>
      <c r="H110" t="s">
        <v>107</v>
      </c>
      <c r="I110" t="s">
        <v>63</v>
      </c>
      <c r="J110" t="s">
        <v>63</v>
      </c>
      <c r="K110" t="s">
        <v>63</v>
      </c>
      <c r="L110" t="s">
        <v>69</v>
      </c>
      <c r="M110" t="s">
        <v>76</v>
      </c>
      <c r="N110" t="s">
        <v>53</v>
      </c>
      <c r="O110" t="s">
        <v>53</v>
      </c>
      <c r="P110" t="s">
        <v>55</v>
      </c>
      <c r="Q110" t="s">
        <v>55</v>
      </c>
      <c r="R110" t="s">
        <v>55</v>
      </c>
      <c r="S110" t="s">
        <v>55</v>
      </c>
      <c r="T110" t="s">
        <v>56</v>
      </c>
      <c r="U110" t="s">
        <v>57</v>
      </c>
      <c r="V110" s="2"/>
      <c r="W110"/>
      <c r="X110"/>
    </row>
    <row r="111" spans="1:24" ht="43.5" x14ac:dyDescent="0.35">
      <c r="B111" s="66" t="s">
        <v>356</v>
      </c>
      <c r="C111" s="10" t="s">
        <v>364</v>
      </c>
      <c r="D111" s="4" t="s">
        <v>365</v>
      </c>
      <c r="E111" t="s">
        <v>48</v>
      </c>
      <c r="F111" t="s">
        <v>49</v>
      </c>
      <c r="G111" t="s">
        <v>98</v>
      </c>
      <c r="H111" t="s">
        <v>139</v>
      </c>
      <c r="I111" t="s">
        <v>63</v>
      </c>
      <c r="J111" t="s">
        <v>52</v>
      </c>
      <c r="K111" t="s">
        <v>53</v>
      </c>
      <c r="L111" t="s">
        <v>69</v>
      </c>
      <c r="M111" t="s">
        <v>76</v>
      </c>
      <c r="N111" t="s">
        <v>53</v>
      </c>
      <c r="O111" t="s">
        <v>53</v>
      </c>
      <c r="P111" t="s">
        <v>55</v>
      </c>
      <c r="Q111" t="s">
        <v>56</v>
      </c>
      <c r="R111" t="s">
        <v>55</v>
      </c>
      <c r="S111" t="s">
        <v>55</v>
      </c>
      <c r="T111" t="s">
        <v>55</v>
      </c>
      <c r="U111" t="s">
        <v>92</v>
      </c>
      <c r="V111" s="2"/>
    </row>
    <row r="112" spans="1:24" s="40" customFormat="1" ht="45" customHeight="1" x14ac:dyDescent="0.35">
      <c r="A112" s="42"/>
      <c r="B112" s="66" t="s">
        <v>356</v>
      </c>
      <c r="C112" s="1" t="s">
        <v>366</v>
      </c>
      <c r="D112" s="2" t="s">
        <v>367</v>
      </c>
      <c r="E112" t="s">
        <v>48</v>
      </c>
      <c r="F112" t="s">
        <v>49</v>
      </c>
      <c r="G112" t="s">
        <v>74</v>
      </c>
      <c r="H112" t="s">
        <v>74</v>
      </c>
      <c r="I112" t="s">
        <v>63</v>
      </c>
      <c r="J112" t="s">
        <v>63</v>
      </c>
      <c r="K112" t="s">
        <v>63</v>
      </c>
      <c r="L112" t="s">
        <v>54</v>
      </c>
      <c r="M112" t="s">
        <v>76</v>
      </c>
      <c r="N112" t="s">
        <v>53</v>
      </c>
      <c r="O112" t="s">
        <v>53</v>
      </c>
      <c r="P112" t="s">
        <v>55</v>
      </c>
      <c r="Q112" t="s">
        <v>56</v>
      </c>
      <c r="R112" t="s">
        <v>55</v>
      </c>
      <c r="S112" t="s">
        <v>55</v>
      </c>
      <c r="T112" t="s">
        <v>56</v>
      </c>
      <c r="U112" t="s">
        <v>57</v>
      </c>
      <c r="V112" s="2" t="s">
        <v>368</v>
      </c>
      <c r="W112"/>
      <c r="X112"/>
    </row>
    <row r="113" spans="1:24" s="40" customFormat="1" ht="29" x14ac:dyDescent="0.35">
      <c r="A113" s="42"/>
      <c r="B113" s="66" t="s">
        <v>356</v>
      </c>
      <c r="C113" s="1" t="s">
        <v>369</v>
      </c>
      <c r="D113" s="2" t="s">
        <v>370</v>
      </c>
      <c r="E113" t="s">
        <v>48</v>
      </c>
      <c r="F113" t="s">
        <v>138</v>
      </c>
      <c r="G113" t="s">
        <v>50</v>
      </c>
      <c r="H113" t="s">
        <v>303</v>
      </c>
      <c r="I113" t="s">
        <v>63</v>
      </c>
      <c r="J113" t="s">
        <v>63</v>
      </c>
      <c r="K113" t="s">
        <v>53</v>
      </c>
      <c r="L113" t="s">
        <v>54</v>
      </c>
      <c r="M113" t="s">
        <v>53</v>
      </c>
      <c r="N113" t="s">
        <v>53</v>
      </c>
      <c r="O113" t="s">
        <v>53</v>
      </c>
      <c r="P113" t="s">
        <v>55</v>
      </c>
      <c r="Q113" t="s">
        <v>56</v>
      </c>
      <c r="R113" t="s">
        <v>55</v>
      </c>
      <c r="S113" t="s">
        <v>55</v>
      </c>
      <c r="T113" t="s">
        <v>55</v>
      </c>
      <c r="U113"/>
      <c r="V113" s="2" t="s">
        <v>371</v>
      </c>
      <c r="W113"/>
      <c r="X113"/>
    </row>
    <row r="114" spans="1:24" s="40" customFormat="1" ht="29" x14ac:dyDescent="0.35">
      <c r="A114" s="42" t="s">
        <v>169</v>
      </c>
      <c r="B114" s="66" t="s">
        <v>356</v>
      </c>
      <c r="C114" s="10" t="s">
        <v>372</v>
      </c>
      <c r="D114" s="53" t="s">
        <v>373</v>
      </c>
      <c r="E114"/>
      <c r="F114"/>
      <c r="G114"/>
      <c r="H114"/>
      <c r="I114"/>
      <c r="J114"/>
      <c r="K114"/>
      <c r="L114"/>
      <c r="M114"/>
      <c r="N114"/>
      <c r="O114"/>
      <c r="P114"/>
      <c r="Q114"/>
      <c r="R114"/>
      <c r="S114"/>
      <c r="T114"/>
      <c r="U114"/>
      <c r="V114" s="2"/>
      <c r="W114"/>
      <c r="X114"/>
    </row>
    <row r="115" spans="1:24" s="40" customFormat="1" ht="29" x14ac:dyDescent="0.35">
      <c r="A115" s="46" t="s">
        <v>180</v>
      </c>
      <c r="B115" s="65" t="s">
        <v>323</v>
      </c>
      <c r="C115" s="10" t="s">
        <v>375</v>
      </c>
      <c r="D115" s="2" t="s">
        <v>376</v>
      </c>
      <c r="E115" s="4" t="s">
        <v>104</v>
      </c>
      <c r="F115" s="4" t="s">
        <v>61</v>
      </c>
      <c r="G115" s="4" t="s">
        <v>50</v>
      </c>
      <c r="H115" s="4" t="s">
        <v>74</v>
      </c>
      <c r="I115" s="4" t="s">
        <v>79</v>
      </c>
      <c r="J115" s="4" t="s">
        <v>79</v>
      </c>
      <c r="K115" s="4" t="s">
        <v>63</v>
      </c>
      <c r="L115" s="4" t="s">
        <v>69</v>
      </c>
      <c r="M115" s="4" t="s">
        <v>76</v>
      </c>
      <c r="N115" s="4" t="s">
        <v>53</v>
      </c>
      <c r="O115" s="4" t="s">
        <v>53</v>
      </c>
      <c r="P115" s="4"/>
      <c r="Q115" s="4" t="s">
        <v>56</v>
      </c>
      <c r="R115" s="4" t="s">
        <v>55</v>
      </c>
      <c r="S115" s="4" t="s">
        <v>55</v>
      </c>
      <c r="T115" s="4" t="s">
        <v>56</v>
      </c>
      <c r="U115" s="2"/>
      <c r="V115" s="2"/>
      <c r="W115"/>
      <c r="X115"/>
    </row>
    <row r="116" spans="1:24" s="40" customFormat="1" ht="87" x14ac:dyDescent="0.35">
      <c r="A116" s="42"/>
      <c r="B116" s="65" t="s">
        <v>323</v>
      </c>
      <c r="C116" s="10" t="s">
        <v>377</v>
      </c>
      <c r="D116" s="2" t="s">
        <v>378</v>
      </c>
      <c r="E116" s="4"/>
      <c r="F116" s="4"/>
      <c r="G116" s="4"/>
      <c r="H116" s="4"/>
      <c r="I116" s="4"/>
      <c r="J116" s="4"/>
      <c r="K116" s="4"/>
      <c r="L116" s="4"/>
      <c r="M116" s="4"/>
      <c r="N116" s="4"/>
      <c r="O116" s="4"/>
      <c r="P116" s="4"/>
      <c r="Q116" s="4"/>
      <c r="R116" s="4"/>
      <c r="S116" s="4"/>
      <c r="T116" s="4"/>
      <c r="U116" s="2"/>
      <c r="V116" s="2"/>
      <c r="W116"/>
      <c r="X116"/>
    </row>
    <row r="117" spans="1:24" ht="44.25" customHeight="1" x14ac:dyDescent="0.35">
      <c r="B117" s="65" t="s">
        <v>323</v>
      </c>
      <c r="C117" s="10" t="s">
        <v>382</v>
      </c>
      <c r="D117" s="2" t="s">
        <v>383</v>
      </c>
      <c r="E117" s="4"/>
      <c r="F117" s="4"/>
      <c r="G117" s="4"/>
      <c r="H117" s="4"/>
      <c r="I117" s="4"/>
      <c r="J117" s="4"/>
      <c r="K117" s="4"/>
      <c r="L117" s="4"/>
      <c r="M117" s="4"/>
      <c r="N117" s="4"/>
      <c r="O117" s="4"/>
      <c r="P117" s="4"/>
      <c r="Q117" s="4"/>
      <c r="R117" s="4"/>
      <c r="S117" s="4"/>
      <c r="T117" s="4"/>
      <c r="U117" s="2"/>
      <c r="V117" s="2"/>
    </row>
    <row r="118" spans="1:24" s="40" customFormat="1" ht="45" customHeight="1" x14ac:dyDescent="0.35">
      <c r="A118" s="42"/>
      <c r="B118" s="65" t="s">
        <v>323</v>
      </c>
      <c r="C118" s="10" t="s">
        <v>384</v>
      </c>
      <c r="D118" s="2" t="s">
        <v>385</v>
      </c>
      <c r="E118" s="4"/>
      <c r="F118" s="4"/>
      <c r="G118" s="4"/>
      <c r="H118" s="4"/>
      <c r="I118" s="4"/>
      <c r="J118" s="4"/>
      <c r="K118" s="4"/>
      <c r="L118" s="4"/>
      <c r="M118" s="4"/>
      <c r="N118" s="4"/>
      <c r="O118" s="4"/>
      <c r="P118" s="4"/>
      <c r="Q118" s="4"/>
      <c r="R118" s="4"/>
      <c r="S118" s="4"/>
      <c r="T118" s="4"/>
      <c r="U118" s="2"/>
      <c r="V118" s="2"/>
      <c r="W118"/>
      <c r="X118"/>
    </row>
    <row r="119" spans="1:24" s="40" customFormat="1" ht="29" x14ac:dyDescent="0.35">
      <c r="A119" s="42"/>
      <c r="B119" s="65" t="s">
        <v>323</v>
      </c>
      <c r="C119" s="10" t="s">
        <v>386</v>
      </c>
      <c r="D119" s="2" t="s">
        <v>387</v>
      </c>
      <c r="E119" s="4"/>
      <c r="F119" s="4"/>
      <c r="G119" s="4"/>
      <c r="H119" s="4"/>
      <c r="I119" s="4"/>
      <c r="J119" s="4"/>
      <c r="K119" s="4"/>
      <c r="L119" s="4"/>
      <c r="M119" s="4"/>
      <c r="N119" s="4"/>
      <c r="O119" s="4"/>
      <c r="P119" s="4"/>
      <c r="Q119" s="4"/>
      <c r="R119" s="4"/>
      <c r="S119" s="4"/>
      <c r="T119" s="4"/>
      <c r="U119" s="2"/>
      <c r="V119" s="2"/>
      <c r="W119"/>
      <c r="X119"/>
    </row>
    <row r="120" spans="1:24" s="40" customFormat="1" ht="15" customHeight="1" x14ac:dyDescent="0.35">
      <c r="A120" s="42"/>
      <c r="B120" s="65" t="s">
        <v>323</v>
      </c>
      <c r="C120" s="10" t="s">
        <v>388</v>
      </c>
      <c r="D120" s="2" t="s">
        <v>389</v>
      </c>
      <c r="E120" s="4"/>
      <c r="F120" s="4"/>
      <c r="G120" s="4"/>
      <c r="H120" s="4"/>
      <c r="I120" s="4"/>
      <c r="J120" s="4"/>
      <c r="K120" s="4"/>
      <c r="L120" s="4"/>
      <c r="M120" s="4"/>
      <c r="N120" s="4"/>
      <c r="O120" s="4"/>
      <c r="P120" s="4"/>
      <c r="Q120" s="4"/>
      <c r="R120" s="4"/>
      <c r="S120" s="4"/>
      <c r="T120" s="4"/>
      <c r="U120" s="2"/>
      <c r="V120" s="2"/>
      <c r="W120"/>
      <c r="X120"/>
    </row>
    <row r="121" spans="1:24" s="40" customFormat="1" ht="75" customHeight="1" x14ac:dyDescent="0.35">
      <c r="A121" s="42"/>
      <c r="B121" s="65" t="s">
        <v>323</v>
      </c>
      <c r="C121" s="10" t="s">
        <v>390</v>
      </c>
      <c r="D121" s="2" t="s">
        <v>391</v>
      </c>
      <c r="E121" s="4"/>
      <c r="F121" s="4"/>
      <c r="G121" s="4"/>
      <c r="H121" s="4"/>
      <c r="I121" s="4"/>
      <c r="J121" s="4"/>
      <c r="K121" s="4"/>
      <c r="L121" s="4"/>
      <c r="M121" s="4"/>
      <c r="N121" s="4"/>
      <c r="O121" s="4"/>
      <c r="P121" s="4"/>
      <c r="Q121" s="4"/>
      <c r="R121" s="4"/>
      <c r="S121" s="4"/>
      <c r="T121" s="4"/>
      <c r="U121" s="2"/>
      <c r="V121" s="2"/>
      <c r="W121"/>
      <c r="X121"/>
    </row>
    <row r="122" spans="1:24" s="40" customFormat="1" ht="90" customHeight="1" x14ac:dyDescent="0.35">
      <c r="A122" s="42"/>
      <c r="B122" s="65" t="s">
        <v>323</v>
      </c>
      <c r="C122" s="10" t="s">
        <v>392</v>
      </c>
      <c r="D122" s="2" t="s">
        <v>393</v>
      </c>
      <c r="E122" s="4"/>
      <c r="F122" s="4"/>
      <c r="G122" s="4"/>
      <c r="H122" s="4"/>
      <c r="I122" s="4"/>
      <c r="J122" s="4"/>
      <c r="K122" s="4"/>
      <c r="L122" s="4"/>
      <c r="M122" s="4"/>
      <c r="N122" s="4"/>
      <c r="O122" s="4"/>
      <c r="P122" s="4"/>
      <c r="Q122" s="4"/>
      <c r="R122" s="4"/>
      <c r="S122" s="4"/>
      <c r="T122" s="4"/>
      <c r="U122" s="2"/>
      <c r="V122" s="2"/>
      <c r="W122"/>
      <c r="X122"/>
    </row>
    <row r="123" spans="1:24" ht="90" customHeight="1" x14ac:dyDescent="0.35">
      <c r="B123" s="65" t="s">
        <v>323</v>
      </c>
      <c r="C123" s="10" t="s">
        <v>394</v>
      </c>
      <c r="D123" s="2" t="s">
        <v>395</v>
      </c>
      <c r="E123" s="4"/>
      <c r="F123" s="4"/>
      <c r="G123" s="4"/>
      <c r="H123" s="4"/>
      <c r="I123" s="4"/>
      <c r="J123" s="4"/>
      <c r="K123" s="4"/>
      <c r="L123" s="4"/>
      <c r="M123" s="4"/>
      <c r="N123" s="4"/>
      <c r="O123" s="4"/>
      <c r="P123" s="4"/>
      <c r="Q123" s="4"/>
      <c r="R123" s="4"/>
      <c r="S123" s="4"/>
      <c r="T123" s="4"/>
      <c r="U123" s="2"/>
      <c r="V123" s="2"/>
    </row>
    <row r="124" spans="1:24" s="40" customFormat="1" ht="90" customHeight="1" x14ac:dyDescent="0.35">
      <c r="A124" s="42"/>
      <c r="B124" s="65" t="s">
        <v>323</v>
      </c>
      <c r="C124" s="10" t="s">
        <v>396</v>
      </c>
      <c r="D124" s="2" t="s">
        <v>397</v>
      </c>
      <c r="E124" s="4"/>
      <c r="F124" s="4"/>
      <c r="G124" s="4"/>
      <c r="H124" s="4"/>
      <c r="I124" s="4"/>
      <c r="J124" s="4"/>
      <c r="K124" s="4"/>
      <c r="L124" s="4"/>
      <c r="M124" s="4"/>
      <c r="N124" s="4"/>
      <c r="O124" s="4"/>
      <c r="P124" s="4"/>
      <c r="Q124" s="4"/>
      <c r="R124" s="4"/>
      <c r="S124" s="4"/>
      <c r="T124" s="4"/>
      <c r="U124" s="2"/>
      <c r="V124" s="2"/>
      <c r="W124"/>
      <c r="X124"/>
    </row>
    <row r="125" spans="1:24" s="40" customFormat="1" ht="105" customHeight="1" x14ac:dyDescent="0.35">
      <c r="A125" s="46" t="s">
        <v>180</v>
      </c>
      <c r="B125" s="57" t="s">
        <v>398</v>
      </c>
      <c r="C125" s="10" t="s">
        <v>399</v>
      </c>
      <c r="D125" s="2" t="s">
        <v>400</v>
      </c>
      <c r="E125" s="4" t="s">
        <v>151</v>
      </c>
      <c r="F125" s="4" t="s">
        <v>49</v>
      </c>
      <c r="G125" s="4" t="s">
        <v>62</v>
      </c>
      <c r="H125" s="4" t="s">
        <v>62</v>
      </c>
      <c r="I125" s="4" t="s">
        <v>63</v>
      </c>
      <c r="J125" s="4" t="s">
        <v>63</v>
      </c>
      <c r="K125" s="4" t="s">
        <v>53</v>
      </c>
      <c r="L125" s="4" t="s">
        <v>54</v>
      </c>
      <c r="M125" s="4" t="s">
        <v>76</v>
      </c>
      <c r="N125" s="4" t="s">
        <v>76</v>
      </c>
      <c r="O125" s="4" t="s">
        <v>53</v>
      </c>
      <c r="P125" s="4" t="s">
        <v>55</v>
      </c>
      <c r="Q125" s="4" t="s">
        <v>56</v>
      </c>
      <c r="R125" s="4" t="s">
        <v>55</v>
      </c>
      <c r="S125" s="4" t="s">
        <v>55</v>
      </c>
      <c r="T125" s="4" t="s">
        <v>55</v>
      </c>
      <c r="U125" s="4"/>
      <c r="V125" s="2"/>
      <c r="W125"/>
      <c r="X125"/>
    </row>
    <row r="126" spans="1:24" ht="45" customHeight="1" x14ac:dyDescent="0.35">
      <c r="A126" s="50"/>
      <c r="B126" s="57" t="s">
        <v>398</v>
      </c>
      <c r="C126" s="10" t="s">
        <v>401</v>
      </c>
      <c r="D126" s="4" t="s">
        <v>402</v>
      </c>
      <c r="E126" s="40" t="s">
        <v>104</v>
      </c>
      <c r="F126" s="40" t="s">
        <v>49</v>
      </c>
      <c r="G126" s="40" t="s">
        <v>62</v>
      </c>
      <c r="H126" s="40" t="s">
        <v>62</v>
      </c>
      <c r="I126" s="40" t="s">
        <v>63</v>
      </c>
      <c r="J126" s="40" t="s">
        <v>52</v>
      </c>
      <c r="K126" s="40" t="s">
        <v>53</v>
      </c>
      <c r="L126" s="40" t="s">
        <v>69</v>
      </c>
      <c r="M126" s="40" t="s">
        <v>75</v>
      </c>
      <c r="N126" s="40" t="s">
        <v>76</v>
      </c>
      <c r="O126" s="40" t="s">
        <v>53</v>
      </c>
      <c r="P126" s="40" t="s">
        <v>55</v>
      </c>
      <c r="Q126" s="40" t="s">
        <v>56</v>
      </c>
      <c r="R126" s="40" t="s">
        <v>55</v>
      </c>
      <c r="S126" s="40" t="s">
        <v>55</v>
      </c>
      <c r="T126" s="40" t="s">
        <v>55</v>
      </c>
      <c r="U126" s="40"/>
      <c r="V126" s="4"/>
      <c r="W126" s="40"/>
      <c r="X126" s="40"/>
    </row>
    <row r="127" spans="1:24" s="40" customFormat="1" ht="105" customHeight="1" x14ac:dyDescent="0.35">
      <c r="A127" s="50"/>
      <c r="B127" s="57" t="s">
        <v>398</v>
      </c>
      <c r="C127" s="10" t="s">
        <v>403</v>
      </c>
      <c r="D127" s="4" t="s">
        <v>404</v>
      </c>
      <c r="E127" s="40" t="s">
        <v>104</v>
      </c>
      <c r="F127" s="40" t="s">
        <v>61</v>
      </c>
      <c r="G127" s="40" t="s">
        <v>62</v>
      </c>
      <c r="H127" s="40" t="s">
        <v>62</v>
      </c>
      <c r="I127" s="40" t="s">
        <v>63</v>
      </c>
      <c r="J127" s="40" t="s">
        <v>63</v>
      </c>
      <c r="K127" s="40" t="s">
        <v>53</v>
      </c>
      <c r="L127" s="40" t="s">
        <v>69</v>
      </c>
      <c r="M127" s="40" t="s">
        <v>75</v>
      </c>
      <c r="N127" s="40" t="s">
        <v>76</v>
      </c>
      <c r="O127" s="40" t="s">
        <v>63</v>
      </c>
      <c r="P127" s="40" t="s">
        <v>56</v>
      </c>
      <c r="Q127" s="40" t="s">
        <v>56</v>
      </c>
      <c r="R127" s="40" t="s">
        <v>55</v>
      </c>
      <c r="S127" s="40" t="s">
        <v>55</v>
      </c>
      <c r="T127" s="40" t="s">
        <v>55</v>
      </c>
      <c r="U127" s="40" t="s">
        <v>153</v>
      </c>
      <c r="V127" s="4"/>
    </row>
    <row r="128" spans="1:24" x14ac:dyDescent="0.35">
      <c r="C128" s="1"/>
      <c r="U128" s="40"/>
    </row>
  </sheetData>
  <autoFilter ref="A9:X127" xr:uid="{E8E0C8FB-4043-49C9-893A-E75C7E1530CD}">
    <sortState xmlns:xlrd2="http://schemas.microsoft.com/office/spreadsheetml/2017/richdata2" ref="A10:X127">
      <sortCondition ref="C9:C127"/>
    </sortState>
  </autoFilter>
  <pageMargins left="0.7" right="0.7" top="0.75" bottom="0.75" header="0.3" footer="0.3"/>
  <pageSetup scale="35" fitToHeight="0" orientation="landscape" r:id="rId1"/>
  <rowBreaks count="1" manualBreakCount="1">
    <brk id="49" max="16383" man="1"/>
  </rowBreaks>
  <extLst>
    <ext xmlns:x14="http://schemas.microsoft.com/office/spreadsheetml/2009/9/main" uri="{CCE6A557-97BC-4b89-ADB6-D9C93CAAB3DF}">
      <x14:dataValidations xmlns:xm="http://schemas.microsoft.com/office/excel/2006/main" count="17">
        <x14:dataValidation type="list" allowBlank="1" showInputMessage="1" showErrorMessage="1" xr:uid="{FCB09BBB-5EA8-4E17-8191-2FE255ABDE4B}">
          <x14:formula1>
            <xm:f>'DATA VALIDATION LIST'!$L$4:$L$5</xm:f>
          </x14:formula1>
          <xm:sqref>P10:P127</xm:sqref>
        </x14:dataValidation>
        <x14:dataValidation type="list" allowBlank="1" showInputMessage="1" xr:uid="{5CD3DDA7-E5E1-4BE1-8F23-B2B38356A9B0}">
          <x14:formula1>
            <xm:f>'DATA VALIDATION LIST'!$Q$4:$Q$17</xm:f>
          </x14:formula1>
          <xm:sqref>U10:U127</xm:sqref>
        </x14:dataValidation>
        <x14:dataValidation type="list" allowBlank="1" showInputMessage="1" showErrorMessage="1" xr:uid="{BC36A715-A9AC-4BA7-844E-CF54B595BFD9}">
          <x14:formula1>
            <xm:f>'DATA VALIDATION LIST'!$P$4:$P$5</xm:f>
          </x14:formula1>
          <xm:sqref>T10:T127</xm:sqref>
        </x14:dataValidation>
        <x14:dataValidation type="list" allowBlank="1" showInputMessage="1" showErrorMessage="1" xr:uid="{04ED54BB-DD1F-49F4-9095-459898B315F9}">
          <x14:formula1>
            <xm:f>'DATA VALIDATION LIST'!$N$4:$N$5</xm:f>
          </x14:formula1>
          <xm:sqref>R10:R127</xm:sqref>
        </x14:dataValidation>
        <x14:dataValidation type="list" allowBlank="1" showInputMessage="1" showErrorMessage="1" xr:uid="{990C7419-617E-4155-81D4-B9CBC6F6CEC5}">
          <x14:formula1>
            <xm:f>'DATA VALIDATION LIST'!$M$4:$M$5</xm:f>
          </x14:formula1>
          <xm:sqref>Q10:Q127</xm:sqref>
        </x14:dataValidation>
        <x14:dataValidation type="list" allowBlank="1" showInputMessage="1" showErrorMessage="1" xr:uid="{75C40635-B9A4-4D6D-960C-6AD7017B859D}">
          <x14:formula1>
            <xm:f>'DATA VALIDATION LIST'!$I$4:$I$8</xm:f>
          </x14:formula1>
          <xm:sqref>M10:M127</xm:sqref>
        </x14:dataValidation>
        <x14:dataValidation type="list" allowBlank="1" showInputMessage="1" showErrorMessage="1" xr:uid="{597D5E02-CB4F-48B8-A3B7-F51B6F0B9604}">
          <x14:formula1>
            <xm:f>'DATA VALIDATION LIST'!$J$4:$J$7</xm:f>
          </x14:formula1>
          <xm:sqref>N10:N127</xm:sqref>
        </x14:dataValidation>
        <x14:dataValidation type="list" allowBlank="1" showInputMessage="1" showErrorMessage="1" xr:uid="{E3E8FDE3-FF99-4594-BC3D-371CF00DDC8A}">
          <x14:formula1>
            <xm:f>'DATA VALIDATION LIST'!$H$4:$H$7</xm:f>
          </x14:formula1>
          <xm:sqref>L10:L127</xm:sqref>
        </x14:dataValidation>
        <x14:dataValidation type="list" allowBlank="1" showInputMessage="1" showErrorMessage="1" xr:uid="{913797E8-11F0-4781-9CF5-E54BBC405C30}">
          <x14:formula1>
            <xm:f>'DATA VALIDATION LIST'!$G$4:$G$7</xm:f>
          </x14:formula1>
          <xm:sqref>K10:K127</xm:sqref>
        </x14:dataValidation>
        <x14:dataValidation type="list" allowBlank="1" showInputMessage="1" showErrorMessage="1" xr:uid="{2A17D2D2-CD3A-48AB-9672-05506D293F78}">
          <x14:formula1>
            <xm:f>'DATA VALIDATION LIST'!$F$4:$F$7</xm:f>
          </x14:formula1>
          <xm:sqref>J10:J127</xm:sqref>
        </x14:dataValidation>
        <x14:dataValidation type="list" allowBlank="1" showInputMessage="1" showErrorMessage="1" xr:uid="{1174D717-2AE9-4189-BEB1-D9D118C6D2A7}">
          <x14:formula1>
            <xm:f>'DATA VALIDATION LIST'!$E$4:$E$7</xm:f>
          </x14:formula1>
          <xm:sqref>I10:I127</xm:sqref>
        </x14:dataValidation>
        <x14:dataValidation type="list" allowBlank="1" showInputMessage="1" showErrorMessage="1" xr:uid="{D0FAFC3A-955B-4A72-B97A-C0E5CC84985A}">
          <x14:formula1>
            <xm:f>'DATA VALIDATION LIST'!$D$4:$D$16</xm:f>
          </x14:formula1>
          <xm:sqref>H10:H127</xm:sqref>
        </x14:dataValidation>
        <x14:dataValidation type="list" allowBlank="1" showInputMessage="1" showErrorMessage="1" xr:uid="{451F2198-3CE8-4230-9F6D-45C35EFB7047}">
          <x14:formula1>
            <xm:f>'DATA VALIDATION LIST'!$C$4:$C$10</xm:f>
          </x14:formula1>
          <xm:sqref>G10:G127</xm:sqref>
        </x14:dataValidation>
        <x14:dataValidation type="list" allowBlank="1" showInputMessage="1" showErrorMessage="1" promptTitle="DROPDOWN" prompt="SELECT ONE" xr:uid="{A9E8E1B0-6252-4F7F-848F-F48080D2D1BE}">
          <x14:formula1>
            <xm:f>'DATA VALIDATION LIST'!$B$4:$B$9</xm:f>
          </x14:formula1>
          <xm:sqref>F10:F127</xm:sqref>
        </x14:dataValidation>
        <x14:dataValidation type="list" allowBlank="1" showInputMessage="1" showErrorMessage="1" xr:uid="{1A2D04E7-1B63-404B-B24C-2AC1F45B2D03}">
          <x14:formula1>
            <xm:f>'DATA VALIDATION LIST'!$A$4:$A$7</xm:f>
          </x14:formula1>
          <xm:sqref>E10:E127</xm:sqref>
        </x14:dataValidation>
        <x14:dataValidation type="list" allowBlank="1" showInputMessage="1" showErrorMessage="1" xr:uid="{F9E5F423-89BA-4E88-89F3-536B5F1B1AE0}">
          <x14:formula1>
            <xm:f>'DATA VALIDATION LIST'!$K$4:$K$7</xm:f>
          </x14:formula1>
          <xm:sqref>O10:O133</xm:sqref>
        </x14:dataValidation>
        <x14:dataValidation type="list" allowBlank="1" showInputMessage="1" showErrorMessage="1" xr:uid="{A455B97E-CAAE-41CC-89AF-C73DE8D01E3A}">
          <x14:formula1>
            <xm:f>'DATA VALIDATION LIST'!$O$4:$O$5</xm:f>
          </x14:formula1>
          <xm:sqref>S10:S127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11258-022E-4FC6-B8AF-981C7659528A}">
  <sheetPr codeName="Sheet6">
    <pageSetUpPr fitToPage="1"/>
  </sheetPr>
  <dimension ref="A1:X146"/>
  <sheetViews>
    <sheetView zoomScaleNormal="100" workbookViewId="0">
      <pane ySplit="9" topLeftCell="A13" activePane="bottomLeft" state="frozen"/>
      <selection pane="bottomLeft" activeCell="F13" sqref="F13"/>
    </sheetView>
  </sheetViews>
  <sheetFormatPr defaultRowHeight="14.5" x14ac:dyDescent="0.35"/>
  <cols>
    <col min="1" max="1" width="5.81640625" style="42" customWidth="1"/>
    <col min="2" max="2" width="16.453125" customWidth="1"/>
    <col min="3" max="3" width="7" customWidth="1"/>
    <col min="4" max="4" width="37" style="2" customWidth="1"/>
    <col min="5" max="5" width="28.26953125" customWidth="1"/>
    <col min="6" max="6" width="24.54296875" customWidth="1"/>
    <col min="7" max="7" width="28.453125" customWidth="1"/>
    <col min="8" max="8" width="24.81640625" customWidth="1"/>
    <col min="9" max="9" width="22.7265625" customWidth="1"/>
    <col min="10" max="11" width="23.81640625" customWidth="1"/>
    <col min="12" max="20" width="26" customWidth="1"/>
    <col min="21" max="21" width="40.7265625" customWidth="1"/>
    <col min="22" max="22" width="58.7265625" customWidth="1"/>
  </cols>
  <sheetData>
    <row r="1" spans="1:24" ht="2.25" customHeight="1" x14ac:dyDescent="0.35"/>
    <row r="2" spans="1:24" ht="32.25" customHeight="1" x14ac:dyDescent="0.5">
      <c r="B2" s="25" t="s">
        <v>10</v>
      </c>
      <c r="F2" s="24"/>
      <c r="I2" s="12"/>
      <c r="J2" s="12"/>
      <c r="K2" s="12"/>
      <c r="L2" s="12"/>
      <c r="M2" s="12"/>
      <c r="N2" s="12"/>
      <c r="O2" s="12"/>
      <c r="P2" s="12"/>
      <c r="Q2" s="12"/>
      <c r="R2" s="12"/>
      <c r="S2" s="12"/>
      <c r="T2" s="12"/>
    </row>
    <row r="3" spans="1:24" ht="16" x14ac:dyDescent="0.4">
      <c r="B3" s="26" t="s">
        <v>2</v>
      </c>
      <c r="F3" s="23"/>
      <c r="G3" s="3"/>
      <c r="H3" s="3"/>
      <c r="I3" s="3"/>
      <c r="J3" s="3"/>
      <c r="K3" s="3"/>
      <c r="L3" s="3"/>
      <c r="M3" s="3"/>
      <c r="N3" s="3"/>
      <c r="O3" s="3"/>
      <c r="P3" s="3"/>
      <c r="Q3" s="3"/>
      <c r="R3" s="3"/>
      <c r="S3" s="3"/>
      <c r="T3" s="3"/>
    </row>
    <row r="4" spans="1:24" x14ac:dyDescent="0.35">
      <c r="B4" s="1"/>
      <c r="F4" s="23"/>
      <c r="G4" s="3"/>
      <c r="H4" s="3"/>
      <c r="I4" s="3"/>
      <c r="J4" s="3"/>
      <c r="K4" s="3"/>
      <c r="L4" s="3"/>
      <c r="M4" s="3"/>
      <c r="N4" s="3"/>
      <c r="O4" s="3"/>
      <c r="P4" s="3"/>
      <c r="Q4" s="3"/>
      <c r="R4" s="3"/>
      <c r="S4" s="3"/>
      <c r="T4" s="3"/>
    </row>
    <row r="5" spans="1:24" ht="15" customHeight="1" x14ac:dyDescent="0.35">
      <c r="F5" s="23"/>
      <c r="G5" s="3"/>
      <c r="H5" s="3"/>
      <c r="I5" s="3"/>
      <c r="J5" s="3"/>
      <c r="K5" s="3"/>
      <c r="L5" s="51" t="s">
        <v>11</v>
      </c>
      <c r="M5" s="3"/>
      <c r="N5" s="3"/>
      <c r="O5" s="3"/>
      <c r="P5" s="3"/>
      <c r="Q5" s="3"/>
      <c r="R5" s="3"/>
      <c r="S5" s="3"/>
      <c r="T5" s="3"/>
      <c r="X5" s="3"/>
    </row>
    <row r="6" spans="1:24" ht="16.5" customHeight="1" x14ac:dyDescent="0.35">
      <c r="B6" s="1"/>
      <c r="F6" s="23"/>
      <c r="G6" s="3"/>
      <c r="H6" s="3"/>
      <c r="I6" s="3"/>
      <c r="J6" s="3"/>
      <c r="K6" s="3"/>
      <c r="L6" s="51" t="s">
        <v>12</v>
      </c>
      <c r="M6" s="3"/>
      <c r="N6" s="3"/>
      <c r="O6" s="3"/>
      <c r="P6" s="3"/>
      <c r="Q6" s="3"/>
      <c r="R6" s="3"/>
      <c r="S6" s="3"/>
      <c r="T6" s="3"/>
      <c r="X6" s="3"/>
    </row>
    <row r="7" spans="1:24" ht="16.5" customHeight="1" x14ac:dyDescent="0.5">
      <c r="B7" s="33" t="s">
        <v>612</v>
      </c>
      <c r="F7" s="23"/>
      <c r="H7" s="2"/>
      <c r="J7" s="3"/>
      <c r="K7" s="3"/>
      <c r="L7" s="51" t="s">
        <v>14</v>
      </c>
      <c r="M7" s="3"/>
      <c r="N7" s="3"/>
      <c r="O7" s="3"/>
      <c r="P7" s="3"/>
      <c r="Q7" s="3"/>
      <c r="R7" s="3"/>
      <c r="S7" s="3"/>
      <c r="T7" s="3"/>
      <c r="X7" s="3"/>
    </row>
    <row r="8" spans="1:24" s="27" customFormat="1" ht="29.5" thickBot="1" x14ac:dyDescent="0.4">
      <c r="A8" s="43"/>
      <c r="B8" s="28"/>
      <c r="C8" s="28"/>
      <c r="D8" s="47"/>
      <c r="E8" s="29" t="s">
        <v>15</v>
      </c>
      <c r="F8" s="28"/>
      <c r="G8" s="30" t="s">
        <v>16</v>
      </c>
      <c r="H8" s="31" t="s">
        <v>17</v>
      </c>
      <c r="I8" s="31" t="s">
        <v>18</v>
      </c>
      <c r="J8" s="29"/>
      <c r="K8" s="29"/>
      <c r="L8" s="29"/>
      <c r="M8" s="29"/>
      <c r="N8" s="29"/>
      <c r="O8" s="29" t="s">
        <v>19</v>
      </c>
      <c r="P8" s="29" t="s">
        <v>20</v>
      </c>
      <c r="Q8" s="29" t="s">
        <v>20</v>
      </c>
      <c r="R8" s="29" t="s">
        <v>20</v>
      </c>
      <c r="S8" s="29" t="s">
        <v>20</v>
      </c>
      <c r="T8" s="29" t="s">
        <v>20</v>
      </c>
      <c r="U8" s="32" t="s">
        <v>593</v>
      </c>
      <c r="V8" s="28" t="s">
        <v>594</v>
      </c>
    </row>
    <row r="9" spans="1:24" ht="45.75" customHeight="1" thickBot="1" x14ac:dyDescent="0.4">
      <c r="B9" s="13" t="s">
        <v>23</v>
      </c>
      <c r="C9" s="14" t="s">
        <v>24</v>
      </c>
      <c r="D9" s="14" t="s">
        <v>25</v>
      </c>
      <c r="E9" s="14" t="s">
        <v>26</v>
      </c>
      <c r="F9" s="14" t="s">
        <v>27</v>
      </c>
      <c r="G9" s="14" t="s">
        <v>28</v>
      </c>
      <c r="H9" s="14" t="s">
        <v>29</v>
      </c>
      <c r="I9" s="14" t="s">
        <v>30</v>
      </c>
      <c r="J9" s="14" t="s">
        <v>31</v>
      </c>
      <c r="K9" s="14" t="s">
        <v>32</v>
      </c>
      <c r="L9" s="14" t="s">
        <v>33</v>
      </c>
      <c r="M9" s="14" t="s">
        <v>34</v>
      </c>
      <c r="N9" s="14" t="s">
        <v>35</v>
      </c>
      <c r="O9" s="14" t="s">
        <v>36</v>
      </c>
      <c r="P9" s="14" t="s">
        <v>37</v>
      </c>
      <c r="Q9" s="14" t="s">
        <v>38</v>
      </c>
      <c r="R9" s="14" t="s">
        <v>39</v>
      </c>
      <c r="S9" s="14" t="s">
        <v>40</v>
      </c>
      <c r="T9" s="14" t="s">
        <v>41</v>
      </c>
      <c r="U9" s="14" t="s">
        <v>42</v>
      </c>
      <c r="V9" s="15" t="s">
        <v>43</v>
      </c>
    </row>
    <row r="10" spans="1:24" ht="22.15" customHeight="1" x14ac:dyDescent="0.4">
      <c r="B10" s="6" t="s">
        <v>83</v>
      </c>
      <c r="C10" s="5"/>
      <c r="D10" s="41"/>
      <c r="E10" s="5"/>
      <c r="F10" s="5"/>
      <c r="G10" s="5"/>
      <c r="H10" s="5"/>
      <c r="I10" s="5"/>
      <c r="J10" s="5"/>
      <c r="K10" s="5"/>
      <c r="L10" s="5"/>
      <c r="M10" s="5"/>
      <c r="N10" s="5"/>
      <c r="O10" s="5"/>
      <c r="P10" s="5"/>
      <c r="Q10" s="5"/>
      <c r="R10" s="5"/>
      <c r="S10" s="5"/>
      <c r="T10" s="5"/>
      <c r="U10" s="5"/>
      <c r="V10" s="5"/>
    </row>
    <row r="11" spans="1:24" ht="43.5" x14ac:dyDescent="0.35">
      <c r="A11" s="70"/>
      <c r="B11" s="10" t="s">
        <v>83</v>
      </c>
      <c r="C11" s="10" t="s">
        <v>326</v>
      </c>
      <c r="D11" s="4" t="s">
        <v>327</v>
      </c>
      <c r="E11" s="4" t="s">
        <v>48</v>
      </c>
      <c r="F11" s="4" t="s">
        <v>61</v>
      </c>
      <c r="G11" s="4" t="s">
        <v>62</v>
      </c>
      <c r="H11" s="4" t="s">
        <v>62</v>
      </c>
      <c r="I11" s="4" t="s">
        <v>63</v>
      </c>
      <c r="J11" s="4" t="s">
        <v>52</v>
      </c>
      <c r="K11" s="4" t="s">
        <v>53</v>
      </c>
      <c r="L11" s="4" t="s">
        <v>54</v>
      </c>
      <c r="M11" s="4" t="s">
        <v>75</v>
      </c>
      <c r="N11" s="4" t="s">
        <v>75</v>
      </c>
      <c r="O11" s="4" t="s">
        <v>63</v>
      </c>
      <c r="P11" s="4" t="s">
        <v>56</v>
      </c>
      <c r="Q11" s="4" t="s">
        <v>56</v>
      </c>
      <c r="R11" s="4" t="s">
        <v>56</v>
      </c>
      <c r="S11" s="4" t="s">
        <v>55</v>
      </c>
      <c r="T11" s="4" t="s">
        <v>55</v>
      </c>
      <c r="U11" t="s">
        <v>328</v>
      </c>
      <c r="V11" s="4" t="s">
        <v>329</v>
      </c>
    </row>
    <row r="12" spans="1:24" ht="72.5" x14ac:dyDescent="0.35">
      <c r="A12" s="70"/>
      <c r="B12" s="10" t="s">
        <v>83</v>
      </c>
      <c r="C12" s="10" t="s">
        <v>330</v>
      </c>
      <c r="D12" s="4" t="s">
        <v>331</v>
      </c>
      <c r="E12" s="4" t="s">
        <v>104</v>
      </c>
      <c r="F12" s="4" t="s">
        <v>61</v>
      </c>
      <c r="G12" s="4" t="s">
        <v>62</v>
      </c>
      <c r="H12" s="4" t="s">
        <v>62</v>
      </c>
      <c r="I12" s="4" t="s">
        <v>52</v>
      </c>
      <c r="J12" s="4" t="s">
        <v>53</v>
      </c>
      <c r="K12" s="4" t="s">
        <v>53</v>
      </c>
      <c r="L12" s="4" t="s">
        <v>69</v>
      </c>
      <c r="M12" s="4" t="s">
        <v>75</v>
      </c>
      <c r="N12" s="4" t="s">
        <v>75</v>
      </c>
      <c r="O12" s="4" t="s">
        <v>52</v>
      </c>
      <c r="P12" s="4" t="s">
        <v>56</v>
      </c>
      <c r="Q12" s="4" t="s">
        <v>56</v>
      </c>
      <c r="R12" s="4" t="s">
        <v>55</v>
      </c>
      <c r="S12" s="4" t="s">
        <v>55</v>
      </c>
      <c r="T12" s="4" t="s">
        <v>55</v>
      </c>
      <c r="U12" s="4" t="s">
        <v>328</v>
      </c>
      <c r="V12" s="4" t="s">
        <v>332</v>
      </c>
    </row>
    <row r="13" spans="1:24" ht="58" x14ac:dyDescent="0.35">
      <c r="A13" s="70"/>
      <c r="B13" s="10" t="s">
        <v>83</v>
      </c>
      <c r="C13" s="10" t="s">
        <v>333</v>
      </c>
      <c r="D13" s="4" t="s">
        <v>334</v>
      </c>
      <c r="E13" s="4" t="s">
        <v>48</v>
      </c>
      <c r="F13" s="4" t="s">
        <v>61</v>
      </c>
      <c r="G13" s="4" t="s">
        <v>62</v>
      </c>
      <c r="H13" s="4" t="s">
        <v>62</v>
      </c>
      <c r="I13" s="4" t="s">
        <v>79</v>
      </c>
      <c r="J13" s="4" t="s">
        <v>79</v>
      </c>
      <c r="K13" s="4" t="s">
        <v>53</v>
      </c>
      <c r="L13" s="4" t="s">
        <v>69</v>
      </c>
      <c r="M13" s="4" t="s">
        <v>75</v>
      </c>
      <c r="N13" s="4" t="s">
        <v>75</v>
      </c>
      <c r="O13" s="4" t="s">
        <v>63</v>
      </c>
      <c r="P13" s="4" t="s">
        <v>56</v>
      </c>
      <c r="Q13" s="4" t="s">
        <v>56</v>
      </c>
      <c r="R13" s="4" t="s">
        <v>55</v>
      </c>
      <c r="S13" s="4" t="s">
        <v>55</v>
      </c>
      <c r="T13" s="4" t="s">
        <v>55</v>
      </c>
      <c r="U13" s="4" t="s">
        <v>335</v>
      </c>
      <c r="V13" s="4" t="s">
        <v>336</v>
      </c>
    </row>
    <row r="14" spans="1:24" ht="29" x14ac:dyDescent="0.35">
      <c r="A14" s="70"/>
      <c r="B14" s="10" t="s">
        <v>83</v>
      </c>
      <c r="C14" s="10" t="s">
        <v>337</v>
      </c>
      <c r="D14" s="4" t="s">
        <v>338</v>
      </c>
      <c r="E14" s="4" t="s">
        <v>151</v>
      </c>
      <c r="F14" s="4" t="s">
        <v>61</v>
      </c>
      <c r="G14" s="4" t="s">
        <v>62</v>
      </c>
      <c r="H14" s="4" t="s">
        <v>62</v>
      </c>
      <c r="I14" s="4" t="s">
        <v>63</v>
      </c>
      <c r="J14" s="4" t="s">
        <v>63</v>
      </c>
      <c r="K14" s="4" t="s">
        <v>53</v>
      </c>
      <c r="L14" s="4" t="s">
        <v>69</v>
      </c>
      <c r="M14" s="4" t="s">
        <v>53</v>
      </c>
      <c r="N14" s="4" t="s">
        <v>53</v>
      </c>
      <c r="O14" s="4" t="s">
        <v>63</v>
      </c>
      <c r="P14" s="4" t="s">
        <v>55</v>
      </c>
      <c r="Q14" s="4" t="s">
        <v>55</v>
      </c>
      <c r="R14" s="4" t="s">
        <v>55</v>
      </c>
      <c r="S14" s="4" t="s">
        <v>55</v>
      </c>
      <c r="T14" s="4" t="s">
        <v>55</v>
      </c>
      <c r="U14" s="4" t="s">
        <v>335</v>
      </c>
      <c r="V14" s="4" t="s">
        <v>339</v>
      </c>
    </row>
    <row r="15" spans="1:24" ht="58" x14ac:dyDescent="0.35">
      <c r="A15" s="70"/>
      <c r="B15" s="10" t="s">
        <v>83</v>
      </c>
      <c r="C15" s="10" t="s">
        <v>340</v>
      </c>
      <c r="D15" s="4" t="s">
        <v>611</v>
      </c>
      <c r="E15" s="4" t="s">
        <v>104</v>
      </c>
      <c r="F15" s="4" t="s">
        <v>49</v>
      </c>
      <c r="G15" s="4" t="s">
        <v>62</v>
      </c>
      <c r="H15" s="4" t="s">
        <v>62</v>
      </c>
      <c r="I15" s="4" t="s">
        <v>79</v>
      </c>
      <c r="J15" s="4" t="s">
        <v>79</v>
      </c>
      <c r="K15" s="4" t="s">
        <v>53</v>
      </c>
      <c r="L15" s="4" t="s">
        <v>110</v>
      </c>
      <c r="M15" s="4" t="s">
        <v>91</v>
      </c>
      <c r="N15" s="4" t="s">
        <v>91</v>
      </c>
      <c r="O15" s="4" t="s">
        <v>52</v>
      </c>
      <c r="P15" s="4" t="s">
        <v>56</v>
      </c>
      <c r="Q15" s="4" t="s">
        <v>56</v>
      </c>
      <c r="R15" s="4" t="s">
        <v>56</v>
      </c>
      <c r="S15" s="4" t="s">
        <v>55</v>
      </c>
      <c r="T15" s="4" t="s">
        <v>56</v>
      </c>
      <c r="U15" s="4" t="s">
        <v>335</v>
      </c>
      <c r="V15" s="4" t="s">
        <v>342</v>
      </c>
    </row>
    <row r="16" spans="1:24" ht="43.5" x14ac:dyDescent="0.35">
      <c r="A16" s="70"/>
      <c r="B16" s="10" t="s">
        <v>83</v>
      </c>
      <c r="C16" s="10" t="s">
        <v>343</v>
      </c>
      <c r="D16" s="4" t="s">
        <v>344</v>
      </c>
      <c r="E16" s="4" t="s">
        <v>104</v>
      </c>
      <c r="F16" s="4" t="s">
        <v>49</v>
      </c>
      <c r="G16" s="4" t="s">
        <v>62</v>
      </c>
      <c r="H16" s="4" t="s">
        <v>62</v>
      </c>
      <c r="I16" s="4" t="s">
        <v>79</v>
      </c>
      <c r="J16" s="4" t="s">
        <v>79</v>
      </c>
      <c r="K16" s="4" t="s">
        <v>53</v>
      </c>
      <c r="L16" s="4" t="s">
        <v>110</v>
      </c>
      <c r="M16" s="4" t="s">
        <v>75</v>
      </c>
      <c r="N16" s="4" t="s">
        <v>91</v>
      </c>
      <c r="O16" s="4" t="s">
        <v>79</v>
      </c>
      <c r="P16" s="4" t="s">
        <v>56</v>
      </c>
      <c r="Q16" s="4" t="s">
        <v>56</v>
      </c>
      <c r="R16" s="4" t="s">
        <v>56</v>
      </c>
      <c r="S16" s="4" t="s">
        <v>55</v>
      </c>
      <c r="T16" s="4" t="s">
        <v>56</v>
      </c>
      <c r="U16" s="4" t="s">
        <v>335</v>
      </c>
      <c r="V16" s="4" t="s">
        <v>345</v>
      </c>
    </row>
    <row r="17" spans="1:22" ht="29" x14ac:dyDescent="0.35">
      <c r="A17" s="70"/>
      <c r="B17" s="10" t="s">
        <v>83</v>
      </c>
      <c r="C17" s="10" t="s">
        <v>346</v>
      </c>
      <c r="D17" s="4" t="s">
        <v>347</v>
      </c>
      <c r="E17" s="4" t="s">
        <v>151</v>
      </c>
      <c r="F17" s="4" t="s">
        <v>61</v>
      </c>
      <c r="G17" s="4" t="s">
        <v>50</v>
      </c>
      <c r="H17" s="4" t="s">
        <v>287</v>
      </c>
      <c r="I17" s="4" t="s">
        <v>52</v>
      </c>
      <c r="J17" s="4" t="s">
        <v>63</v>
      </c>
      <c r="K17" s="4" t="s">
        <v>53</v>
      </c>
      <c r="L17" s="4" t="s">
        <v>69</v>
      </c>
      <c r="M17" s="4" t="s">
        <v>53</v>
      </c>
      <c r="N17" s="4" t="s">
        <v>53</v>
      </c>
      <c r="O17" s="4" t="s">
        <v>53</v>
      </c>
      <c r="P17" s="4" t="s">
        <v>55</v>
      </c>
      <c r="Q17" s="4" t="s">
        <v>55</v>
      </c>
      <c r="R17" s="4" t="s">
        <v>55</v>
      </c>
      <c r="S17" s="4" t="s">
        <v>55</v>
      </c>
      <c r="T17" s="4" t="s">
        <v>55</v>
      </c>
      <c r="U17" s="4"/>
      <c r="V17" s="4"/>
    </row>
    <row r="18" spans="1:22" x14ac:dyDescent="0.35">
      <c r="A18" s="71" t="s">
        <v>596</v>
      </c>
      <c r="B18" s="10" t="s">
        <v>83</v>
      </c>
      <c r="C18" s="10" t="s">
        <v>349</v>
      </c>
      <c r="D18" s="2" t="s">
        <v>350</v>
      </c>
      <c r="E18" s="4" t="s">
        <v>104</v>
      </c>
      <c r="F18" s="4" t="s">
        <v>138</v>
      </c>
      <c r="G18" s="4" t="s">
        <v>62</v>
      </c>
      <c r="H18" s="4" t="s">
        <v>62</v>
      </c>
      <c r="I18" s="4" t="s">
        <v>52</v>
      </c>
      <c r="J18" s="4" t="s">
        <v>53</v>
      </c>
      <c r="K18" s="4" t="s">
        <v>53</v>
      </c>
      <c r="L18" s="4" t="s">
        <v>69</v>
      </c>
      <c r="M18" s="4" t="s">
        <v>75</v>
      </c>
      <c r="N18" s="4" t="s">
        <v>75</v>
      </c>
      <c r="O18" s="4" t="s">
        <v>63</v>
      </c>
      <c r="P18" s="4" t="s">
        <v>56</v>
      </c>
      <c r="Q18" s="4" t="s">
        <v>55</v>
      </c>
      <c r="R18" s="4" t="s">
        <v>55</v>
      </c>
      <c r="S18" s="4" t="s">
        <v>55</v>
      </c>
      <c r="T18" s="4" t="s">
        <v>55</v>
      </c>
      <c r="U18" s="4" t="s">
        <v>153</v>
      </c>
      <c r="V18" s="4"/>
    </row>
    <row r="19" spans="1:22" ht="24" customHeight="1" x14ac:dyDescent="0.4">
      <c r="A19" s="45"/>
      <c r="B19" s="6" t="s">
        <v>351</v>
      </c>
      <c r="C19" s="5"/>
      <c r="D19" s="41"/>
      <c r="E19" s="5"/>
      <c r="F19" s="5"/>
      <c r="G19" s="5"/>
      <c r="H19" s="5"/>
      <c r="I19" s="5"/>
      <c r="J19" s="5"/>
      <c r="K19" s="5"/>
      <c r="L19" s="5"/>
      <c r="M19" s="5"/>
      <c r="N19" s="5"/>
      <c r="O19" s="5"/>
      <c r="P19" s="5"/>
      <c r="Q19" s="5"/>
      <c r="R19" s="5"/>
      <c r="S19" s="5"/>
      <c r="T19" s="5"/>
      <c r="U19" s="5"/>
      <c r="V19" s="41"/>
    </row>
    <row r="20" spans="1:22" ht="60" customHeight="1" x14ac:dyDescent="0.35">
      <c r="A20" s="72"/>
      <c r="B20" s="10" t="s">
        <v>351</v>
      </c>
      <c r="C20" s="10" t="s">
        <v>352</v>
      </c>
      <c r="D20" s="2" t="s">
        <v>353</v>
      </c>
      <c r="E20" s="4" t="s">
        <v>151</v>
      </c>
      <c r="F20" s="4" t="s">
        <v>61</v>
      </c>
      <c r="G20" s="4" t="s">
        <v>50</v>
      </c>
      <c r="H20" s="4" t="s">
        <v>287</v>
      </c>
      <c r="I20" s="4" t="s">
        <v>63</v>
      </c>
      <c r="J20" s="4" t="s">
        <v>63</v>
      </c>
      <c r="K20" s="4" t="s">
        <v>53</v>
      </c>
      <c r="L20" s="4" t="s">
        <v>110</v>
      </c>
      <c r="M20" s="4" t="s">
        <v>75</v>
      </c>
      <c r="N20" s="4" t="s">
        <v>75</v>
      </c>
      <c r="O20" s="4" t="s">
        <v>63</v>
      </c>
      <c r="P20" s="4" t="s">
        <v>56</v>
      </c>
      <c r="Q20" s="4" t="s">
        <v>56</v>
      </c>
      <c r="R20" s="4" t="s">
        <v>55</v>
      </c>
      <c r="S20" s="4" t="s">
        <v>55</v>
      </c>
      <c r="T20" s="4" t="s">
        <v>55</v>
      </c>
      <c r="U20" s="4"/>
      <c r="V20" s="4"/>
    </row>
    <row r="21" spans="1:22" ht="72.5" x14ac:dyDescent="0.35">
      <c r="A21" s="72"/>
      <c r="B21" s="10" t="s">
        <v>351</v>
      </c>
      <c r="C21" s="10" t="s">
        <v>354</v>
      </c>
      <c r="D21" s="2" t="s">
        <v>355</v>
      </c>
      <c r="E21" s="4" t="s">
        <v>48</v>
      </c>
      <c r="F21" s="4" t="s">
        <v>61</v>
      </c>
      <c r="G21" s="4" t="s">
        <v>62</v>
      </c>
      <c r="H21" s="4" t="s">
        <v>62</v>
      </c>
      <c r="I21" s="4" t="s">
        <v>52</v>
      </c>
      <c r="J21" s="4" t="s">
        <v>63</v>
      </c>
      <c r="K21" s="4" t="s">
        <v>53</v>
      </c>
      <c r="L21" s="4" t="s">
        <v>54</v>
      </c>
      <c r="M21" s="4" t="s">
        <v>75</v>
      </c>
      <c r="N21" s="4" t="s">
        <v>75</v>
      </c>
      <c r="O21" s="4" t="s">
        <v>53</v>
      </c>
      <c r="P21" s="4" t="s">
        <v>56</v>
      </c>
      <c r="Q21" s="4" t="s">
        <v>56</v>
      </c>
      <c r="R21" s="4" t="s">
        <v>55</v>
      </c>
      <c r="S21" s="4" t="s">
        <v>55</v>
      </c>
      <c r="T21" s="4" t="s">
        <v>55</v>
      </c>
      <c r="U21" s="4"/>
      <c r="V21" s="4"/>
    </row>
    <row r="22" spans="1:22" ht="27" customHeight="1" x14ac:dyDescent="0.4">
      <c r="B22" s="6" t="s">
        <v>153</v>
      </c>
      <c r="C22" s="5"/>
      <c r="D22" s="41"/>
      <c r="E22" s="5"/>
      <c r="F22" s="5"/>
      <c r="G22" s="5"/>
      <c r="H22" s="5"/>
      <c r="I22" s="5"/>
      <c r="J22" s="5"/>
      <c r="K22" s="5"/>
      <c r="L22" s="5"/>
      <c r="M22" s="5"/>
      <c r="N22" s="5"/>
      <c r="O22" s="5"/>
      <c r="P22" s="5"/>
      <c r="Q22" s="5"/>
      <c r="R22" s="5"/>
      <c r="S22" s="5"/>
      <c r="T22" s="5"/>
      <c r="U22" s="5"/>
      <c r="V22" s="41"/>
    </row>
    <row r="23" spans="1:22" ht="29" x14ac:dyDescent="0.35">
      <c r="A23" s="73" t="s">
        <v>180</v>
      </c>
      <c r="B23" s="10" t="s">
        <v>153</v>
      </c>
      <c r="C23" s="10" t="s">
        <v>154</v>
      </c>
      <c r="D23" s="2" t="s">
        <v>155</v>
      </c>
      <c r="E23" s="4" t="s">
        <v>104</v>
      </c>
      <c r="F23" s="4" t="s">
        <v>61</v>
      </c>
      <c r="G23" s="9" t="s">
        <v>62</v>
      </c>
      <c r="H23" s="9" t="s">
        <v>62</v>
      </c>
      <c r="I23" s="9" t="s">
        <v>79</v>
      </c>
      <c r="J23" s="9" t="s">
        <v>53</v>
      </c>
      <c r="K23" s="9" t="s">
        <v>53</v>
      </c>
      <c r="L23" s="9" t="s">
        <v>54</v>
      </c>
      <c r="M23" s="9" t="s">
        <v>76</v>
      </c>
      <c r="N23" s="9" t="s">
        <v>76</v>
      </c>
      <c r="O23" s="9" t="s">
        <v>63</v>
      </c>
      <c r="P23" s="9" t="s">
        <v>56</v>
      </c>
      <c r="Q23" s="9" t="s">
        <v>55</v>
      </c>
      <c r="R23" s="9" t="s">
        <v>56</v>
      </c>
      <c r="S23" s="9" t="s">
        <v>55</v>
      </c>
      <c r="T23" s="9" t="s">
        <v>55</v>
      </c>
      <c r="U23" s="4" t="s">
        <v>156</v>
      </c>
      <c r="V23" s="2" t="s">
        <v>157</v>
      </c>
    </row>
    <row r="24" spans="1:22" x14ac:dyDescent="0.35">
      <c r="A24" s="73" t="s">
        <v>180</v>
      </c>
      <c r="B24" s="10" t="s">
        <v>153</v>
      </c>
      <c r="C24" s="10" t="s">
        <v>158</v>
      </c>
      <c r="D24" s="2" t="s">
        <v>159</v>
      </c>
      <c r="E24" s="4" t="s">
        <v>48</v>
      </c>
      <c r="F24" s="4" t="s">
        <v>49</v>
      </c>
      <c r="G24" s="9" t="s">
        <v>50</v>
      </c>
      <c r="H24" s="9" t="s">
        <v>160</v>
      </c>
      <c r="I24" s="9" t="s">
        <v>79</v>
      </c>
      <c r="J24" s="9" t="s">
        <v>52</v>
      </c>
      <c r="K24" s="9" t="s">
        <v>52</v>
      </c>
      <c r="L24" s="9" t="s">
        <v>110</v>
      </c>
      <c r="M24" s="9" t="s">
        <v>76</v>
      </c>
      <c r="N24" s="9" t="s">
        <v>76</v>
      </c>
      <c r="O24" s="9" t="s">
        <v>52</v>
      </c>
      <c r="P24" s="9"/>
      <c r="Q24" s="9" t="s">
        <v>56</v>
      </c>
      <c r="R24" s="9" t="s">
        <v>56</v>
      </c>
      <c r="S24" s="9" t="s">
        <v>55</v>
      </c>
      <c r="T24" s="9" t="s">
        <v>55</v>
      </c>
      <c r="U24" s="2"/>
      <c r="V24" s="2"/>
    </row>
    <row r="25" spans="1:22" ht="60" customHeight="1" x14ac:dyDescent="0.35">
      <c r="A25" s="73" t="s">
        <v>180</v>
      </c>
      <c r="B25" s="10" t="s">
        <v>153</v>
      </c>
      <c r="C25" s="10" t="s">
        <v>161</v>
      </c>
      <c r="D25" s="4" t="s">
        <v>162</v>
      </c>
      <c r="E25" s="4" t="s">
        <v>104</v>
      </c>
      <c r="F25" s="4" t="s">
        <v>61</v>
      </c>
      <c r="G25" s="9" t="s">
        <v>74</v>
      </c>
      <c r="H25" s="9" t="s">
        <v>74</v>
      </c>
      <c r="I25" s="9" t="s">
        <v>63</v>
      </c>
      <c r="J25" s="9" t="s">
        <v>52</v>
      </c>
      <c r="K25" s="9" t="s">
        <v>79</v>
      </c>
      <c r="L25" s="9" t="s">
        <v>69</v>
      </c>
      <c r="M25" s="9" t="s">
        <v>75</v>
      </c>
      <c r="N25" s="9" t="s">
        <v>75</v>
      </c>
      <c r="O25" s="9" t="s">
        <v>79</v>
      </c>
      <c r="P25" s="9"/>
      <c r="Q25" s="9" t="s">
        <v>56</v>
      </c>
      <c r="R25" s="9" t="s">
        <v>56</v>
      </c>
      <c r="S25" s="9" t="s">
        <v>56</v>
      </c>
      <c r="T25" s="9" t="s">
        <v>56</v>
      </c>
      <c r="U25" s="2"/>
      <c r="V25" s="4" t="s">
        <v>163</v>
      </c>
    </row>
    <row r="26" spans="1:22" ht="29" x14ac:dyDescent="0.35">
      <c r="A26" s="74"/>
      <c r="B26" s="10" t="s">
        <v>153</v>
      </c>
      <c r="C26" s="10" t="s">
        <v>164</v>
      </c>
      <c r="D26" s="2" t="s">
        <v>165</v>
      </c>
      <c r="E26" s="2" t="s">
        <v>48</v>
      </c>
      <c r="F26" s="2" t="s">
        <v>61</v>
      </c>
      <c r="G26" t="s">
        <v>62</v>
      </c>
      <c r="H26" t="s">
        <v>62</v>
      </c>
      <c r="I26" t="s">
        <v>79</v>
      </c>
      <c r="J26" t="s">
        <v>79</v>
      </c>
      <c r="K26" t="s">
        <v>52</v>
      </c>
      <c r="L26" t="s">
        <v>110</v>
      </c>
      <c r="M26" t="s">
        <v>75</v>
      </c>
      <c r="N26" t="s">
        <v>75</v>
      </c>
      <c r="O26" t="s">
        <v>79</v>
      </c>
      <c r="P26" t="s">
        <v>56</v>
      </c>
      <c r="Q26" t="s">
        <v>56</v>
      </c>
      <c r="R26" t="s">
        <v>56</v>
      </c>
      <c r="S26" t="s">
        <v>55</v>
      </c>
      <c r="T26" t="s">
        <v>55</v>
      </c>
      <c r="U26" s="2"/>
      <c r="V26" s="2"/>
    </row>
    <row r="27" spans="1:22" ht="29" x14ac:dyDescent="0.35">
      <c r="A27" s="74" t="s">
        <v>596</v>
      </c>
      <c r="B27" s="10" t="s">
        <v>153</v>
      </c>
      <c r="C27" s="10" t="s">
        <v>167</v>
      </c>
      <c r="D27" s="53" t="s">
        <v>597</v>
      </c>
      <c r="E27" s="2" t="s">
        <v>613</v>
      </c>
      <c r="F27" s="2" t="s">
        <v>49</v>
      </c>
      <c r="U27" s="2"/>
      <c r="V27" s="2"/>
    </row>
    <row r="28" spans="1:22" ht="26.25" customHeight="1" x14ac:dyDescent="0.4">
      <c r="B28" s="6" t="s">
        <v>323</v>
      </c>
      <c r="C28" s="5"/>
      <c r="D28" s="41"/>
      <c r="E28" s="5"/>
      <c r="F28" s="5"/>
      <c r="G28" s="5"/>
      <c r="H28" s="5"/>
      <c r="I28" s="5"/>
      <c r="J28" s="5"/>
      <c r="K28" s="5"/>
      <c r="L28" s="5"/>
      <c r="M28" s="5"/>
      <c r="N28" s="5"/>
      <c r="O28" s="5"/>
      <c r="P28" s="5"/>
      <c r="Q28" s="5"/>
      <c r="R28" s="5"/>
      <c r="S28" s="5"/>
      <c r="T28" s="5"/>
      <c r="U28" s="5"/>
      <c r="V28" s="41"/>
    </row>
    <row r="29" spans="1:22" ht="29" x14ac:dyDescent="0.35">
      <c r="A29" s="75" t="s">
        <v>180</v>
      </c>
      <c r="B29" s="10" t="s">
        <v>323</v>
      </c>
      <c r="C29" s="10" t="s">
        <v>375</v>
      </c>
      <c r="D29" s="2" t="s">
        <v>376</v>
      </c>
      <c r="E29" s="4" t="s">
        <v>104</v>
      </c>
      <c r="F29" s="4" t="s">
        <v>61</v>
      </c>
      <c r="G29" s="4" t="s">
        <v>50</v>
      </c>
      <c r="H29" s="4" t="s">
        <v>74</v>
      </c>
      <c r="I29" s="4" t="s">
        <v>79</v>
      </c>
      <c r="J29" s="4" t="s">
        <v>79</v>
      </c>
      <c r="K29" s="4" t="s">
        <v>63</v>
      </c>
      <c r="L29" s="4" t="s">
        <v>69</v>
      </c>
      <c r="M29" s="4" t="s">
        <v>76</v>
      </c>
      <c r="N29" s="4" t="s">
        <v>53</v>
      </c>
      <c r="O29" s="4" t="s">
        <v>53</v>
      </c>
      <c r="P29" s="4"/>
      <c r="Q29" s="4" t="s">
        <v>56</v>
      </c>
      <c r="R29" s="4" t="s">
        <v>55</v>
      </c>
      <c r="S29" s="4" t="s">
        <v>55</v>
      </c>
      <c r="T29" s="4" t="s">
        <v>56</v>
      </c>
      <c r="U29" s="2"/>
      <c r="V29" s="2"/>
    </row>
    <row r="30" spans="1:22" ht="29" x14ac:dyDescent="0.35">
      <c r="A30" s="76"/>
      <c r="B30" s="10" t="s">
        <v>323</v>
      </c>
      <c r="C30" s="10" t="s">
        <v>382</v>
      </c>
      <c r="D30" s="2" t="s">
        <v>383</v>
      </c>
      <c r="E30" s="4" t="s">
        <v>613</v>
      </c>
      <c r="F30" s="4"/>
      <c r="G30" s="4"/>
      <c r="H30" s="4"/>
      <c r="I30" s="4"/>
      <c r="J30" s="4"/>
      <c r="K30" s="4"/>
      <c r="L30" s="4"/>
      <c r="M30" s="4"/>
      <c r="N30" s="4"/>
      <c r="O30" s="4"/>
      <c r="P30" s="4"/>
      <c r="Q30" s="4"/>
      <c r="R30" s="4"/>
      <c r="S30" s="4"/>
      <c r="T30" s="4"/>
      <c r="U30" s="2"/>
      <c r="V30" s="2"/>
    </row>
    <row r="31" spans="1:22" ht="43.5" x14ac:dyDescent="0.35">
      <c r="A31" s="76"/>
      <c r="B31" s="10" t="s">
        <v>323</v>
      </c>
      <c r="C31" s="10" t="s">
        <v>384</v>
      </c>
      <c r="D31" s="2" t="s">
        <v>385</v>
      </c>
      <c r="E31" s="4"/>
      <c r="F31" s="4"/>
      <c r="G31" s="4"/>
      <c r="H31" s="4"/>
      <c r="I31" s="4"/>
      <c r="J31" s="4"/>
      <c r="K31" s="4"/>
      <c r="L31" s="4"/>
      <c r="M31" s="4"/>
      <c r="N31" s="4"/>
      <c r="O31" s="4"/>
      <c r="P31" s="4"/>
      <c r="Q31" s="4"/>
      <c r="R31" s="4"/>
      <c r="S31" s="4"/>
      <c r="T31" s="4"/>
      <c r="U31" s="2"/>
      <c r="V31" s="2"/>
    </row>
    <row r="32" spans="1:22" ht="29" x14ac:dyDescent="0.35">
      <c r="A32" s="76"/>
      <c r="B32" s="10" t="s">
        <v>323</v>
      </c>
      <c r="C32" s="10" t="s">
        <v>386</v>
      </c>
      <c r="D32" s="2" t="s">
        <v>387</v>
      </c>
      <c r="E32" s="4" t="s">
        <v>613</v>
      </c>
      <c r="F32" s="4"/>
      <c r="G32" s="4"/>
      <c r="H32" s="4"/>
      <c r="I32" s="4"/>
      <c r="J32" s="4"/>
      <c r="K32" s="4"/>
      <c r="L32" s="4"/>
      <c r="M32" s="4"/>
      <c r="N32" s="4"/>
      <c r="O32" s="4"/>
      <c r="P32" s="4"/>
      <c r="Q32" s="4"/>
      <c r="R32" s="4"/>
      <c r="S32" s="4"/>
      <c r="T32" s="4"/>
      <c r="U32" s="2"/>
      <c r="V32" s="2"/>
    </row>
    <row r="33" spans="1:22" ht="29" x14ac:dyDescent="0.35">
      <c r="A33" s="76"/>
      <c r="B33" s="10" t="s">
        <v>323</v>
      </c>
      <c r="C33" s="10" t="s">
        <v>388</v>
      </c>
      <c r="D33" s="2" t="s">
        <v>389</v>
      </c>
      <c r="E33" s="4" t="s">
        <v>613</v>
      </c>
      <c r="F33" s="4"/>
      <c r="G33" s="4"/>
      <c r="H33" s="4"/>
      <c r="I33" s="4"/>
      <c r="J33" s="4"/>
      <c r="K33" s="4"/>
      <c r="L33" s="4"/>
      <c r="M33" s="4"/>
      <c r="N33" s="4"/>
      <c r="O33" s="4"/>
      <c r="P33" s="4"/>
      <c r="Q33" s="4"/>
      <c r="R33" s="4"/>
      <c r="S33" s="4"/>
      <c r="T33" s="4"/>
      <c r="U33" s="2"/>
      <c r="V33" s="2"/>
    </row>
    <row r="34" spans="1:22" ht="43.5" x14ac:dyDescent="0.35">
      <c r="A34" s="76"/>
      <c r="B34" s="10" t="s">
        <v>323</v>
      </c>
      <c r="C34" s="10" t="s">
        <v>390</v>
      </c>
      <c r="D34" s="2" t="s">
        <v>391</v>
      </c>
      <c r="E34" s="4" t="s">
        <v>104</v>
      </c>
      <c r="F34" s="4"/>
      <c r="G34" s="4"/>
      <c r="H34" s="4"/>
      <c r="I34" s="4"/>
      <c r="J34" s="4"/>
      <c r="K34" s="4"/>
      <c r="L34" s="4"/>
      <c r="M34" s="4"/>
      <c r="N34" s="4"/>
      <c r="O34" s="4"/>
      <c r="P34" s="4"/>
      <c r="Q34" s="4"/>
      <c r="R34" s="4"/>
      <c r="S34" s="4"/>
      <c r="T34" s="4"/>
      <c r="U34" s="2"/>
      <c r="V34" s="2"/>
    </row>
    <row r="35" spans="1:22" ht="58" x14ac:dyDescent="0.35">
      <c r="A35" s="76"/>
      <c r="B35" s="10" t="s">
        <v>323</v>
      </c>
      <c r="C35" s="10" t="s">
        <v>392</v>
      </c>
      <c r="D35" s="2" t="s">
        <v>393</v>
      </c>
      <c r="E35" s="4" t="s">
        <v>104</v>
      </c>
      <c r="F35" s="4"/>
      <c r="G35" s="4"/>
      <c r="H35" s="4"/>
      <c r="I35" s="4"/>
      <c r="J35" s="4"/>
      <c r="K35" s="4"/>
      <c r="L35" s="4"/>
      <c r="M35" s="4"/>
      <c r="N35" s="4"/>
      <c r="O35" s="4"/>
      <c r="P35" s="4"/>
      <c r="Q35" s="4"/>
      <c r="R35" s="4"/>
      <c r="S35" s="4"/>
      <c r="T35" s="4"/>
      <c r="U35" s="2"/>
      <c r="V35" s="2"/>
    </row>
    <row r="36" spans="1:22" ht="72.5" x14ac:dyDescent="0.35">
      <c r="A36" s="76"/>
      <c r="B36" s="10" t="s">
        <v>323</v>
      </c>
      <c r="C36" s="10" t="s">
        <v>394</v>
      </c>
      <c r="D36" s="2" t="s">
        <v>395</v>
      </c>
      <c r="E36" s="4"/>
      <c r="F36" s="4"/>
      <c r="G36" s="4"/>
      <c r="H36" s="4"/>
      <c r="I36" s="4"/>
      <c r="J36" s="4"/>
      <c r="K36" s="4"/>
      <c r="L36" s="4"/>
      <c r="M36" s="4"/>
      <c r="N36" s="4"/>
      <c r="O36" s="4"/>
      <c r="P36" s="4"/>
      <c r="Q36" s="4"/>
      <c r="R36" s="4"/>
      <c r="S36" s="4"/>
      <c r="T36" s="4"/>
      <c r="U36" s="2"/>
      <c r="V36" s="2"/>
    </row>
    <row r="37" spans="1:22" ht="58" x14ac:dyDescent="0.35">
      <c r="A37" s="76"/>
      <c r="B37" s="10" t="s">
        <v>323</v>
      </c>
      <c r="C37" s="10" t="s">
        <v>396</v>
      </c>
      <c r="D37" s="2" t="s">
        <v>397</v>
      </c>
      <c r="E37" s="4" t="s">
        <v>613</v>
      </c>
      <c r="F37" s="4"/>
      <c r="G37" s="4"/>
      <c r="H37" s="4"/>
      <c r="I37" s="4"/>
      <c r="J37" s="4"/>
      <c r="K37" s="4"/>
      <c r="L37" s="4"/>
      <c r="M37" s="4"/>
      <c r="N37" s="4"/>
      <c r="O37" s="4"/>
      <c r="P37" s="4"/>
      <c r="Q37" s="4"/>
      <c r="R37" s="4"/>
      <c r="S37" s="4"/>
      <c r="T37" s="4"/>
      <c r="U37" s="2"/>
      <c r="V37" s="2"/>
    </row>
    <row r="38" spans="1:22" ht="87" x14ac:dyDescent="0.35">
      <c r="A38" s="76"/>
      <c r="B38" s="10" t="s">
        <v>323</v>
      </c>
      <c r="C38" s="10" t="s">
        <v>377</v>
      </c>
      <c r="D38" s="2" t="s">
        <v>378</v>
      </c>
      <c r="E38" s="4" t="s">
        <v>613</v>
      </c>
      <c r="F38" s="4"/>
      <c r="G38" s="4"/>
      <c r="H38" s="4"/>
      <c r="I38" s="4"/>
      <c r="J38" s="4"/>
      <c r="K38" s="4"/>
      <c r="L38" s="4"/>
      <c r="M38" s="4"/>
      <c r="N38" s="4"/>
      <c r="O38" s="4"/>
      <c r="P38" s="4"/>
      <c r="Q38" s="4"/>
      <c r="R38" s="4"/>
      <c r="S38" s="4"/>
      <c r="T38" s="4"/>
      <c r="U38" s="2"/>
      <c r="V38" s="2"/>
    </row>
    <row r="39" spans="1:22" x14ac:dyDescent="0.35">
      <c r="A39" s="76"/>
      <c r="B39" s="10" t="s">
        <v>323</v>
      </c>
      <c r="C39" s="10" t="s">
        <v>380</v>
      </c>
      <c r="D39" s="2" t="s">
        <v>381</v>
      </c>
      <c r="E39" s="4" t="s">
        <v>613</v>
      </c>
      <c r="F39" s="4"/>
      <c r="G39" s="4"/>
      <c r="H39" s="4"/>
      <c r="I39" s="4"/>
      <c r="J39" s="4"/>
      <c r="K39" s="4"/>
      <c r="L39" s="4"/>
      <c r="M39" s="4"/>
      <c r="N39" s="4"/>
      <c r="O39" s="4"/>
      <c r="P39" s="4"/>
      <c r="Q39" s="4"/>
      <c r="R39" s="4"/>
      <c r="S39" s="4"/>
      <c r="T39" s="4"/>
      <c r="U39" s="2"/>
      <c r="V39" s="2"/>
    </row>
    <row r="40" spans="1:22" ht="26.25" customHeight="1" x14ac:dyDescent="0.4">
      <c r="B40" s="6" t="s">
        <v>279</v>
      </c>
      <c r="C40" s="5"/>
      <c r="D40" s="41"/>
      <c r="E40" s="5"/>
      <c r="F40" s="5"/>
      <c r="G40" s="5"/>
      <c r="H40" s="5"/>
      <c r="I40" s="5"/>
      <c r="J40" s="5"/>
      <c r="K40" s="5"/>
      <c r="L40" s="5"/>
      <c r="M40" s="5"/>
      <c r="N40" s="5"/>
      <c r="O40" s="5"/>
      <c r="P40" s="5"/>
      <c r="Q40" s="5"/>
      <c r="R40" s="5"/>
      <c r="S40" s="5"/>
      <c r="T40" s="5"/>
      <c r="U40" s="5"/>
      <c r="V40" s="41"/>
    </row>
    <row r="41" spans="1:22" ht="45" customHeight="1" x14ac:dyDescent="0.35">
      <c r="A41" s="77"/>
      <c r="B41" s="10" t="s">
        <v>279</v>
      </c>
      <c r="C41" s="10" t="s">
        <v>280</v>
      </c>
      <c r="D41" s="4" t="s">
        <v>281</v>
      </c>
      <c r="E41" s="4" t="s">
        <v>48</v>
      </c>
      <c r="F41" s="4" t="s">
        <v>61</v>
      </c>
      <c r="G41" s="4" t="s">
        <v>62</v>
      </c>
      <c r="H41" s="4" t="s">
        <v>62</v>
      </c>
      <c r="I41" s="4" t="s">
        <v>52</v>
      </c>
      <c r="J41" s="4" t="s">
        <v>52</v>
      </c>
      <c r="K41" s="4" t="s">
        <v>52</v>
      </c>
      <c r="L41" s="4" t="s">
        <v>69</v>
      </c>
      <c r="M41" s="4" t="s">
        <v>76</v>
      </c>
      <c r="N41" s="4" t="s">
        <v>53</v>
      </c>
      <c r="O41" s="4" t="s">
        <v>53</v>
      </c>
      <c r="P41" s="4" t="s">
        <v>55</v>
      </c>
      <c r="Q41" s="4" t="s">
        <v>56</v>
      </c>
      <c r="R41" s="4" t="s">
        <v>56</v>
      </c>
      <c r="S41" s="4" t="s">
        <v>55</v>
      </c>
      <c r="T41" s="4" t="s">
        <v>55</v>
      </c>
      <c r="U41" s="2"/>
      <c r="V41" s="2"/>
    </row>
    <row r="42" spans="1:22" ht="58" x14ac:dyDescent="0.35">
      <c r="A42" s="77"/>
      <c r="B42" s="10" t="s">
        <v>279</v>
      </c>
      <c r="C42" s="1" t="s">
        <v>283</v>
      </c>
      <c r="D42" s="2" t="s">
        <v>284</v>
      </c>
      <c r="E42" s="4" t="s">
        <v>48</v>
      </c>
      <c r="F42" s="4" t="s">
        <v>61</v>
      </c>
      <c r="G42" s="4" t="s">
        <v>62</v>
      </c>
      <c r="H42" s="4" t="s">
        <v>62</v>
      </c>
      <c r="I42" s="4" t="s">
        <v>63</v>
      </c>
      <c r="J42" s="4" t="s">
        <v>63</v>
      </c>
      <c r="K42" s="4" t="s">
        <v>63</v>
      </c>
      <c r="L42" s="4" t="s">
        <v>54</v>
      </c>
      <c r="M42" s="4" t="s">
        <v>76</v>
      </c>
      <c r="N42" s="4" t="s">
        <v>53</v>
      </c>
      <c r="O42" s="4" t="s">
        <v>53</v>
      </c>
      <c r="P42" s="4" t="s">
        <v>55</v>
      </c>
      <c r="Q42" s="4" t="s">
        <v>56</v>
      </c>
      <c r="R42" s="4" t="s">
        <v>56</v>
      </c>
      <c r="S42" s="4" t="s">
        <v>55</v>
      </c>
      <c r="T42" s="4" t="s">
        <v>55</v>
      </c>
      <c r="U42" s="2"/>
      <c r="V42" s="2"/>
    </row>
    <row r="43" spans="1:22" ht="43.5" x14ac:dyDescent="0.35">
      <c r="A43" s="77"/>
      <c r="B43" s="10" t="s">
        <v>279</v>
      </c>
      <c r="C43" s="1" t="s">
        <v>285</v>
      </c>
      <c r="D43" s="2" t="s">
        <v>286</v>
      </c>
      <c r="E43" s="4" t="s">
        <v>104</v>
      </c>
      <c r="F43" s="4" t="s">
        <v>61</v>
      </c>
      <c r="G43" s="4" t="s">
        <v>50</v>
      </c>
      <c r="H43" s="4" t="s">
        <v>287</v>
      </c>
      <c r="I43" s="4" t="s">
        <v>63</v>
      </c>
      <c r="J43" s="4" t="s">
        <v>52</v>
      </c>
      <c r="K43" s="4" t="s">
        <v>52</v>
      </c>
      <c r="L43" s="4" t="s">
        <v>69</v>
      </c>
      <c r="M43" s="4" t="s">
        <v>76</v>
      </c>
      <c r="N43" s="4" t="s">
        <v>53</v>
      </c>
      <c r="O43" s="4" t="s">
        <v>53</v>
      </c>
      <c r="P43" s="4" t="s">
        <v>55</v>
      </c>
      <c r="Q43" s="4" t="s">
        <v>56</v>
      </c>
      <c r="R43" s="4" t="s">
        <v>56</v>
      </c>
      <c r="S43" s="4" t="s">
        <v>55</v>
      </c>
      <c r="T43" s="4" t="s">
        <v>55</v>
      </c>
      <c r="U43" s="2"/>
      <c r="V43" s="2"/>
    </row>
    <row r="44" spans="1:22" ht="26.25" customHeight="1" x14ac:dyDescent="0.4">
      <c r="B44" s="6" t="s">
        <v>273</v>
      </c>
      <c r="C44" s="5"/>
      <c r="D44" s="41"/>
      <c r="E44" s="5"/>
      <c r="F44" s="5"/>
      <c r="G44" s="5"/>
      <c r="H44" s="5"/>
      <c r="I44" s="5"/>
      <c r="J44" s="5"/>
      <c r="K44" s="5"/>
      <c r="L44" s="5"/>
      <c r="M44" s="5"/>
      <c r="N44" s="5"/>
      <c r="O44" s="5"/>
      <c r="P44" s="5"/>
      <c r="Q44" s="5"/>
      <c r="R44" s="5"/>
      <c r="S44" s="5"/>
      <c r="T44" s="5"/>
      <c r="U44" s="5"/>
      <c r="V44" s="41"/>
    </row>
    <row r="45" spans="1:22" ht="29" x14ac:dyDescent="0.35">
      <c r="A45" s="78" t="s">
        <v>180</v>
      </c>
      <c r="B45" s="10" t="s">
        <v>273</v>
      </c>
      <c r="C45" s="10" t="s">
        <v>274</v>
      </c>
      <c r="D45" s="4" t="s">
        <v>275</v>
      </c>
      <c r="E45" s="4" t="s">
        <v>151</v>
      </c>
      <c r="F45" s="4" t="s">
        <v>61</v>
      </c>
      <c r="G45" s="4" t="s">
        <v>62</v>
      </c>
      <c r="H45" s="4" t="s">
        <v>62</v>
      </c>
      <c r="I45" s="4" t="s">
        <v>63</v>
      </c>
      <c r="J45" s="4" t="s">
        <v>52</v>
      </c>
      <c r="K45" s="4" t="s">
        <v>63</v>
      </c>
      <c r="L45" s="4" t="s">
        <v>54</v>
      </c>
      <c r="M45" s="4" t="s">
        <v>76</v>
      </c>
      <c r="N45" s="4" t="s">
        <v>53</v>
      </c>
      <c r="O45" s="4" t="s">
        <v>53</v>
      </c>
      <c r="P45" s="4"/>
      <c r="Q45" s="4" t="s">
        <v>56</v>
      </c>
      <c r="R45" s="4" t="s">
        <v>56</v>
      </c>
      <c r="S45" s="4" t="s">
        <v>56</v>
      </c>
      <c r="T45" s="4" t="s">
        <v>55</v>
      </c>
      <c r="U45" s="2"/>
      <c r="V45" s="2"/>
    </row>
    <row r="46" spans="1:22" ht="45" customHeight="1" x14ac:dyDescent="0.35">
      <c r="A46" s="78" t="s">
        <v>180</v>
      </c>
      <c r="B46" s="10" t="s">
        <v>273</v>
      </c>
      <c r="C46" s="1" t="s">
        <v>277</v>
      </c>
      <c r="D46" s="2" t="s">
        <v>278</v>
      </c>
      <c r="E46" s="4" t="s">
        <v>104</v>
      </c>
      <c r="F46" s="4" t="s">
        <v>61</v>
      </c>
      <c r="G46" s="4" t="s">
        <v>62</v>
      </c>
      <c r="H46" s="4" t="s">
        <v>62</v>
      </c>
      <c r="I46" s="4" t="s">
        <v>63</v>
      </c>
      <c r="J46" s="4" t="s">
        <v>52</v>
      </c>
      <c r="K46" s="4" t="s">
        <v>79</v>
      </c>
      <c r="L46" s="4" t="s">
        <v>54</v>
      </c>
      <c r="M46" s="4" t="s">
        <v>76</v>
      </c>
      <c r="N46" s="4" t="s">
        <v>53</v>
      </c>
      <c r="O46" s="4" t="s">
        <v>53</v>
      </c>
      <c r="P46" s="4"/>
      <c r="Q46" s="4" t="s">
        <v>55</v>
      </c>
      <c r="R46" s="4" t="s">
        <v>56</v>
      </c>
      <c r="S46" s="4" t="s">
        <v>56</v>
      </c>
      <c r="T46" s="4" t="s">
        <v>55</v>
      </c>
      <c r="U46" s="2"/>
      <c r="V46" s="2"/>
    </row>
    <row r="47" spans="1:22" ht="26.25" customHeight="1" x14ac:dyDescent="0.4">
      <c r="B47" s="6" t="s">
        <v>356</v>
      </c>
      <c r="C47" s="5"/>
      <c r="D47" s="41"/>
      <c r="E47" s="5"/>
      <c r="F47" s="5"/>
      <c r="G47" s="5"/>
      <c r="H47" s="5"/>
      <c r="I47" s="5"/>
      <c r="J47" s="5"/>
      <c r="K47" s="5"/>
      <c r="L47" s="5"/>
      <c r="M47" s="5"/>
      <c r="N47" s="5"/>
      <c r="O47" s="5"/>
      <c r="P47" s="5"/>
      <c r="Q47" s="5"/>
      <c r="R47" s="5"/>
      <c r="S47" s="5"/>
      <c r="T47" s="5"/>
      <c r="U47" s="5"/>
      <c r="V47" s="41"/>
    </row>
    <row r="48" spans="1:22" ht="29" x14ac:dyDescent="0.35">
      <c r="A48" s="79" t="s">
        <v>180</v>
      </c>
      <c r="B48" s="10" t="s">
        <v>356</v>
      </c>
      <c r="C48" s="10" t="s">
        <v>357</v>
      </c>
      <c r="D48" s="2" t="s">
        <v>358</v>
      </c>
      <c r="E48" s="4" t="s">
        <v>48</v>
      </c>
      <c r="F48" s="4" t="s">
        <v>61</v>
      </c>
      <c r="G48" s="4" t="s">
        <v>74</v>
      </c>
      <c r="H48" s="4" t="s">
        <v>139</v>
      </c>
      <c r="I48" s="4" t="s">
        <v>52</v>
      </c>
      <c r="J48" s="4" t="s">
        <v>52</v>
      </c>
      <c r="K48" s="4" t="s">
        <v>53</v>
      </c>
      <c r="L48" s="4" t="s">
        <v>69</v>
      </c>
      <c r="M48" s="4" t="s">
        <v>76</v>
      </c>
      <c r="N48" s="4" t="s">
        <v>53</v>
      </c>
      <c r="O48" s="4" t="s">
        <v>53</v>
      </c>
      <c r="P48" s="4" t="s">
        <v>55</v>
      </c>
      <c r="Q48" s="4" t="s">
        <v>56</v>
      </c>
      <c r="R48" s="4" t="s">
        <v>56</v>
      </c>
      <c r="S48" s="4" t="s">
        <v>55</v>
      </c>
      <c r="T48" s="4" t="s">
        <v>55</v>
      </c>
      <c r="U48" s="2" t="s">
        <v>92</v>
      </c>
      <c r="V48" s="2" t="s">
        <v>359</v>
      </c>
    </row>
    <row r="49" spans="1:22" ht="43.5" x14ac:dyDescent="0.35">
      <c r="A49" s="80"/>
      <c r="B49" s="10" t="s">
        <v>356</v>
      </c>
      <c r="C49" s="1" t="s">
        <v>360</v>
      </c>
      <c r="D49" s="2" t="s">
        <v>361</v>
      </c>
      <c r="E49" t="s">
        <v>48</v>
      </c>
      <c r="F49" t="s">
        <v>49</v>
      </c>
      <c r="G49" t="s">
        <v>98</v>
      </c>
      <c r="H49" t="s">
        <v>139</v>
      </c>
      <c r="I49" t="s">
        <v>63</v>
      </c>
      <c r="J49" t="s">
        <v>63</v>
      </c>
      <c r="K49" t="s">
        <v>63</v>
      </c>
      <c r="L49" t="s">
        <v>69</v>
      </c>
      <c r="M49" t="s">
        <v>76</v>
      </c>
      <c r="N49" t="s">
        <v>53</v>
      </c>
      <c r="O49" t="s">
        <v>53</v>
      </c>
      <c r="P49" t="s">
        <v>55</v>
      </c>
      <c r="Q49" t="s">
        <v>56</v>
      </c>
      <c r="R49" t="s">
        <v>55</v>
      </c>
      <c r="S49" t="s">
        <v>55</v>
      </c>
      <c r="T49" t="s">
        <v>55</v>
      </c>
      <c r="U49" t="s">
        <v>92</v>
      </c>
      <c r="V49" s="2"/>
    </row>
    <row r="50" spans="1:22" ht="29" x14ac:dyDescent="0.35">
      <c r="A50" s="80"/>
      <c r="B50" s="10" t="s">
        <v>356</v>
      </c>
      <c r="C50" s="1" t="s">
        <v>362</v>
      </c>
      <c r="D50" s="2" t="s">
        <v>363</v>
      </c>
      <c r="E50" t="s">
        <v>87</v>
      </c>
      <c r="F50" t="s">
        <v>49</v>
      </c>
      <c r="G50" t="s">
        <v>50</v>
      </c>
      <c r="H50" t="s">
        <v>107</v>
      </c>
      <c r="I50" t="s">
        <v>63</v>
      </c>
      <c r="J50" t="s">
        <v>63</v>
      </c>
      <c r="K50" t="s">
        <v>63</v>
      </c>
      <c r="L50" t="s">
        <v>69</v>
      </c>
      <c r="M50" t="s">
        <v>76</v>
      </c>
      <c r="N50" t="s">
        <v>53</v>
      </c>
      <c r="O50" t="s">
        <v>53</v>
      </c>
      <c r="P50" t="s">
        <v>55</v>
      </c>
      <c r="Q50" t="s">
        <v>55</v>
      </c>
      <c r="R50" t="s">
        <v>55</v>
      </c>
      <c r="S50" t="s">
        <v>55</v>
      </c>
      <c r="T50" t="s">
        <v>56</v>
      </c>
      <c r="U50" t="s">
        <v>57</v>
      </c>
      <c r="V50" s="2"/>
    </row>
    <row r="51" spans="1:22" ht="43.5" x14ac:dyDescent="0.35">
      <c r="A51" s="80"/>
      <c r="B51" s="10" t="s">
        <v>356</v>
      </c>
      <c r="C51" s="10" t="s">
        <v>364</v>
      </c>
      <c r="D51" s="4" t="s">
        <v>365</v>
      </c>
      <c r="E51" t="s">
        <v>48</v>
      </c>
      <c r="F51" t="s">
        <v>49</v>
      </c>
      <c r="G51" t="s">
        <v>98</v>
      </c>
      <c r="H51" t="s">
        <v>139</v>
      </c>
      <c r="I51" t="s">
        <v>63</v>
      </c>
      <c r="J51" t="s">
        <v>52</v>
      </c>
      <c r="K51" t="s">
        <v>53</v>
      </c>
      <c r="L51" t="s">
        <v>69</v>
      </c>
      <c r="M51" t="s">
        <v>76</v>
      </c>
      <c r="N51" t="s">
        <v>53</v>
      </c>
      <c r="O51" t="s">
        <v>53</v>
      </c>
      <c r="P51" t="s">
        <v>55</v>
      </c>
      <c r="Q51" t="s">
        <v>56</v>
      </c>
      <c r="R51" t="s">
        <v>55</v>
      </c>
      <c r="S51" t="s">
        <v>55</v>
      </c>
      <c r="T51" t="s">
        <v>55</v>
      </c>
      <c r="U51" t="s">
        <v>92</v>
      </c>
      <c r="V51" s="2"/>
    </row>
    <row r="52" spans="1:22" ht="29" x14ac:dyDescent="0.35">
      <c r="A52" s="80"/>
      <c r="B52" s="10" t="s">
        <v>356</v>
      </c>
      <c r="C52" s="1" t="s">
        <v>366</v>
      </c>
      <c r="D52" s="2" t="s">
        <v>367</v>
      </c>
      <c r="E52" t="s">
        <v>48</v>
      </c>
      <c r="F52" t="s">
        <v>49</v>
      </c>
      <c r="G52" t="s">
        <v>74</v>
      </c>
      <c r="H52" t="s">
        <v>74</v>
      </c>
      <c r="I52" t="s">
        <v>63</v>
      </c>
      <c r="J52" t="s">
        <v>63</v>
      </c>
      <c r="K52" t="s">
        <v>63</v>
      </c>
      <c r="L52" t="s">
        <v>54</v>
      </c>
      <c r="M52" t="s">
        <v>76</v>
      </c>
      <c r="N52" t="s">
        <v>53</v>
      </c>
      <c r="O52" t="s">
        <v>53</v>
      </c>
      <c r="P52" t="s">
        <v>55</v>
      </c>
      <c r="Q52" t="s">
        <v>56</v>
      </c>
      <c r="R52" t="s">
        <v>55</v>
      </c>
      <c r="S52" t="s">
        <v>55</v>
      </c>
      <c r="T52" t="s">
        <v>56</v>
      </c>
      <c r="U52" t="s">
        <v>57</v>
      </c>
      <c r="V52" s="2" t="s">
        <v>368</v>
      </c>
    </row>
    <row r="53" spans="1:22" ht="29" x14ac:dyDescent="0.35">
      <c r="A53" s="80"/>
      <c r="B53" s="10" t="s">
        <v>356</v>
      </c>
      <c r="C53" s="1" t="s">
        <v>369</v>
      </c>
      <c r="D53" s="2" t="s">
        <v>370</v>
      </c>
      <c r="E53" t="s">
        <v>48</v>
      </c>
      <c r="F53" t="s">
        <v>138</v>
      </c>
      <c r="G53" t="s">
        <v>50</v>
      </c>
      <c r="H53" t="s">
        <v>303</v>
      </c>
      <c r="I53" t="s">
        <v>63</v>
      </c>
      <c r="J53" t="s">
        <v>63</v>
      </c>
      <c r="K53" t="s">
        <v>53</v>
      </c>
      <c r="L53" t="s">
        <v>54</v>
      </c>
      <c r="M53" t="s">
        <v>53</v>
      </c>
      <c r="N53" t="s">
        <v>53</v>
      </c>
      <c r="O53" t="s">
        <v>53</v>
      </c>
      <c r="P53" t="s">
        <v>55</v>
      </c>
      <c r="Q53" t="s">
        <v>56</v>
      </c>
      <c r="R53" t="s">
        <v>55</v>
      </c>
      <c r="S53" t="s">
        <v>55</v>
      </c>
      <c r="T53" t="s">
        <v>55</v>
      </c>
      <c r="V53" s="2" t="s">
        <v>371</v>
      </c>
    </row>
    <row r="54" spans="1:22" ht="29" x14ac:dyDescent="0.35">
      <c r="A54" s="80" t="s">
        <v>169</v>
      </c>
      <c r="B54" s="10" t="s">
        <v>356</v>
      </c>
      <c r="C54" s="10" t="s">
        <v>372</v>
      </c>
      <c r="D54" s="53" t="s">
        <v>373</v>
      </c>
      <c r="E54" t="s">
        <v>613</v>
      </c>
      <c r="V54" s="2"/>
    </row>
    <row r="55" spans="1:22" ht="26.25" customHeight="1" x14ac:dyDescent="0.4">
      <c r="B55" s="6" t="s">
        <v>45</v>
      </c>
      <c r="C55" s="5"/>
      <c r="D55" s="41"/>
      <c r="E55" s="5"/>
      <c r="F55" s="5"/>
      <c r="G55" s="5"/>
      <c r="H55" s="5"/>
      <c r="I55" s="5"/>
      <c r="J55" s="5"/>
      <c r="K55" s="5"/>
      <c r="L55" s="5"/>
      <c r="M55" s="5"/>
      <c r="N55" s="5"/>
      <c r="O55" s="5"/>
      <c r="P55" s="5"/>
      <c r="Q55" s="5"/>
      <c r="R55" s="5"/>
      <c r="S55" s="5"/>
      <c r="T55" s="5"/>
      <c r="U55" s="39"/>
      <c r="V55" s="41"/>
    </row>
    <row r="56" spans="1:22" ht="45" customHeight="1" x14ac:dyDescent="0.35">
      <c r="A56" s="81" t="s">
        <v>180</v>
      </c>
      <c r="B56" s="10" t="s">
        <v>45</v>
      </c>
      <c r="C56" s="10" t="s">
        <v>46</v>
      </c>
      <c r="D56" s="4" t="s">
        <v>47</v>
      </c>
      <c r="E56" s="4" t="s">
        <v>48</v>
      </c>
      <c r="F56" s="4" t="s">
        <v>61</v>
      </c>
      <c r="G56" s="4" t="s">
        <v>50</v>
      </c>
      <c r="H56" s="4" t="s">
        <v>51</v>
      </c>
      <c r="I56" s="4" t="s">
        <v>52</v>
      </c>
      <c r="J56" s="4" t="s">
        <v>53</v>
      </c>
      <c r="K56" s="4" t="s">
        <v>53</v>
      </c>
      <c r="L56" s="4" t="s">
        <v>54</v>
      </c>
      <c r="M56" s="4" t="s">
        <v>53</v>
      </c>
      <c r="N56" s="4" t="s">
        <v>53</v>
      </c>
      <c r="O56" s="4" t="s">
        <v>53</v>
      </c>
      <c r="P56" s="4" t="s">
        <v>55</v>
      </c>
      <c r="Q56" s="4" t="s">
        <v>56</v>
      </c>
      <c r="R56" s="4" t="s">
        <v>55</v>
      </c>
      <c r="S56" s="4" t="s">
        <v>55</v>
      </c>
      <c r="T56" s="4" t="s">
        <v>56</v>
      </c>
      <c r="U56" s="4" t="s">
        <v>57</v>
      </c>
      <c r="V56" s="2"/>
    </row>
    <row r="57" spans="1:22" s="40" customFormat="1" ht="75" customHeight="1" x14ac:dyDescent="0.35">
      <c r="A57" s="82"/>
      <c r="B57" s="10" t="s">
        <v>45</v>
      </c>
      <c r="C57" s="10" t="s">
        <v>58</v>
      </c>
      <c r="D57" s="4" t="s">
        <v>59</v>
      </c>
      <c r="E57" s="40" t="s">
        <v>613</v>
      </c>
      <c r="F57" s="40" t="s">
        <v>61</v>
      </c>
      <c r="G57" s="40" t="s">
        <v>62</v>
      </c>
      <c r="H57" s="40" t="s">
        <v>62</v>
      </c>
      <c r="I57" s="40" t="s">
        <v>63</v>
      </c>
      <c r="J57" s="40" t="s">
        <v>63</v>
      </c>
      <c r="K57" s="40" t="s">
        <v>53</v>
      </c>
      <c r="L57" s="40" t="s">
        <v>54</v>
      </c>
      <c r="M57" s="40" t="s">
        <v>53</v>
      </c>
      <c r="N57" s="40" t="s">
        <v>53</v>
      </c>
      <c r="O57" s="40" t="s">
        <v>53</v>
      </c>
      <c r="P57" s="40" t="s">
        <v>55</v>
      </c>
      <c r="Q57" s="40" t="s">
        <v>55</v>
      </c>
      <c r="R57" s="40" t="s">
        <v>55</v>
      </c>
      <c r="S57" s="40" t="s">
        <v>55</v>
      </c>
      <c r="T57" s="40" t="s">
        <v>55</v>
      </c>
      <c r="U57" s="40" t="s">
        <v>64</v>
      </c>
      <c r="V57" s="4" t="s">
        <v>65</v>
      </c>
    </row>
    <row r="58" spans="1:22" s="40" customFormat="1" ht="58" x14ac:dyDescent="0.35">
      <c r="A58" s="82"/>
      <c r="B58" s="10" t="s">
        <v>45</v>
      </c>
      <c r="C58" s="10" t="s">
        <v>66</v>
      </c>
      <c r="D58" s="4" t="s">
        <v>67</v>
      </c>
      <c r="E58" s="40" t="s">
        <v>613</v>
      </c>
      <c r="F58" s="40" t="s">
        <v>61</v>
      </c>
      <c r="G58" s="40" t="s">
        <v>62</v>
      </c>
      <c r="H58" s="40" t="s">
        <v>62</v>
      </c>
      <c r="I58" s="40" t="s">
        <v>68</v>
      </c>
      <c r="J58" s="40" t="s">
        <v>63</v>
      </c>
      <c r="K58" s="40" t="s">
        <v>53</v>
      </c>
      <c r="L58" s="40" t="s">
        <v>69</v>
      </c>
      <c r="M58" s="40" t="s">
        <v>53</v>
      </c>
      <c r="N58" s="40" t="s">
        <v>53</v>
      </c>
      <c r="O58" s="40" t="s">
        <v>53</v>
      </c>
      <c r="P58" s="40" t="s">
        <v>55</v>
      </c>
      <c r="Q58" s="40" t="s">
        <v>55</v>
      </c>
      <c r="R58" s="40" t="s">
        <v>55</v>
      </c>
      <c r="S58" s="40" t="s">
        <v>55</v>
      </c>
      <c r="T58" s="40" t="s">
        <v>55</v>
      </c>
      <c r="V58" s="4" t="s">
        <v>70</v>
      </c>
    </row>
    <row r="59" spans="1:22" s="40" customFormat="1" ht="130.5" x14ac:dyDescent="0.35">
      <c r="A59" s="82"/>
      <c r="B59" s="10" t="s">
        <v>45</v>
      </c>
      <c r="C59" s="10" t="s">
        <v>71</v>
      </c>
      <c r="D59" s="4" t="s">
        <v>72</v>
      </c>
      <c r="E59" s="40" t="s">
        <v>613</v>
      </c>
      <c r="F59" s="40" t="s">
        <v>61</v>
      </c>
      <c r="G59" s="40" t="s">
        <v>73</v>
      </c>
      <c r="H59" s="40" t="s">
        <v>74</v>
      </c>
      <c r="I59" s="40" t="s">
        <v>63</v>
      </c>
      <c r="J59" s="40" t="s">
        <v>63</v>
      </c>
      <c r="K59" s="40" t="s">
        <v>53</v>
      </c>
      <c r="L59" s="40" t="s">
        <v>54</v>
      </c>
      <c r="M59" s="40" t="s">
        <v>75</v>
      </c>
      <c r="N59" s="40" t="s">
        <v>76</v>
      </c>
      <c r="O59" s="40" t="s">
        <v>53</v>
      </c>
      <c r="P59" s="40" t="s">
        <v>56</v>
      </c>
      <c r="Q59" s="40" t="s">
        <v>56</v>
      </c>
      <c r="R59" s="40" t="s">
        <v>56</v>
      </c>
      <c r="S59" s="40" t="s">
        <v>56</v>
      </c>
      <c r="T59" s="40" t="s">
        <v>56</v>
      </c>
      <c r="U59" s="40" t="s">
        <v>64</v>
      </c>
      <c r="V59" s="4"/>
    </row>
    <row r="60" spans="1:22" s="40" customFormat="1" ht="120" customHeight="1" x14ac:dyDescent="0.35">
      <c r="A60" s="82"/>
      <c r="B60" s="10" t="s">
        <v>45</v>
      </c>
      <c r="C60" s="10" t="s">
        <v>77</v>
      </c>
      <c r="D60" s="4" t="s">
        <v>78</v>
      </c>
      <c r="E60" s="40" t="s">
        <v>48</v>
      </c>
      <c r="F60" s="40" t="s">
        <v>61</v>
      </c>
      <c r="G60" s="40" t="s">
        <v>62</v>
      </c>
      <c r="H60" s="40" t="s">
        <v>62</v>
      </c>
      <c r="I60" s="40" t="s">
        <v>68</v>
      </c>
      <c r="J60" s="40" t="s">
        <v>79</v>
      </c>
      <c r="K60" s="40" t="s">
        <v>53</v>
      </c>
      <c r="L60" s="40" t="s">
        <v>54</v>
      </c>
      <c r="M60" s="40" t="s">
        <v>76</v>
      </c>
      <c r="N60" s="40" t="s">
        <v>53</v>
      </c>
      <c r="O60" s="40" t="s">
        <v>53</v>
      </c>
      <c r="P60" s="40" t="s">
        <v>55</v>
      </c>
      <c r="Q60" s="40" t="s">
        <v>56</v>
      </c>
      <c r="R60" s="40" t="s">
        <v>55</v>
      </c>
      <c r="S60" s="40" t="s">
        <v>55</v>
      </c>
      <c r="T60" s="40" t="s">
        <v>55</v>
      </c>
      <c r="V60" s="4" t="s">
        <v>80</v>
      </c>
    </row>
    <row r="61" spans="1:22" s="40" customFormat="1" ht="75" customHeight="1" x14ac:dyDescent="0.35">
      <c r="A61" s="82"/>
      <c r="B61" s="10" t="s">
        <v>45</v>
      </c>
      <c r="C61" s="10" t="s">
        <v>81</v>
      </c>
      <c r="D61" s="4" t="s">
        <v>82</v>
      </c>
      <c r="E61" s="40" t="s">
        <v>48</v>
      </c>
      <c r="F61" s="40" t="s">
        <v>49</v>
      </c>
      <c r="G61" s="40" t="s">
        <v>62</v>
      </c>
      <c r="H61" s="40" t="s">
        <v>62</v>
      </c>
      <c r="I61" s="40" t="s">
        <v>52</v>
      </c>
      <c r="J61" s="40" t="s">
        <v>63</v>
      </c>
      <c r="K61" s="40" t="s">
        <v>53</v>
      </c>
      <c r="L61" s="40" t="s">
        <v>69</v>
      </c>
      <c r="M61" s="40" t="s">
        <v>76</v>
      </c>
      <c r="N61" s="40" t="s">
        <v>53</v>
      </c>
      <c r="O61" s="40" t="s">
        <v>53</v>
      </c>
      <c r="P61" s="40" t="s">
        <v>55</v>
      </c>
      <c r="Q61" s="40" t="s">
        <v>56</v>
      </c>
      <c r="R61" s="40" t="s">
        <v>56</v>
      </c>
      <c r="S61" s="40" t="s">
        <v>55</v>
      </c>
      <c r="T61" s="40" t="s">
        <v>56</v>
      </c>
      <c r="U61" s="40" t="s">
        <v>83</v>
      </c>
      <c r="V61" s="4" t="s">
        <v>84</v>
      </c>
    </row>
    <row r="62" spans="1:22" s="40" customFormat="1" ht="60" customHeight="1" x14ac:dyDescent="0.35">
      <c r="A62" s="82"/>
      <c r="B62" s="10" t="s">
        <v>45</v>
      </c>
      <c r="C62" s="10" t="s">
        <v>85</v>
      </c>
      <c r="D62" s="4" t="s">
        <v>86</v>
      </c>
      <c r="E62" s="40" t="s">
        <v>87</v>
      </c>
      <c r="F62" s="40" t="s">
        <v>61</v>
      </c>
      <c r="G62" s="40" t="s">
        <v>62</v>
      </c>
      <c r="H62" s="40" t="s">
        <v>62</v>
      </c>
      <c r="I62" s="40" t="s">
        <v>63</v>
      </c>
      <c r="J62" s="40" t="s">
        <v>63</v>
      </c>
      <c r="K62" s="40" t="s">
        <v>63</v>
      </c>
      <c r="L62" s="40" t="s">
        <v>54</v>
      </c>
      <c r="M62" s="40" t="s">
        <v>76</v>
      </c>
      <c r="N62" s="40" t="s">
        <v>53</v>
      </c>
      <c r="O62" s="40" t="s">
        <v>53</v>
      </c>
      <c r="P62" s="40" t="s">
        <v>55</v>
      </c>
      <c r="Q62" s="40" t="s">
        <v>56</v>
      </c>
      <c r="R62" s="40" t="s">
        <v>55</v>
      </c>
      <c r="S62" s="40" t="s">
        <v>55</v>
      </c>
      <c r="T62" s="40" t="s">
        <v>56</v>
      </c>
      <c r="V62" s="4" t="s">
        <v>88</v>
      </c>
    </row>
    <row r="63" spans="1:22" ht="26.25" customHeight="1" x14ac:dyDescent="0.4">
      <c r="B63" s="6" t="s">
        <v>95</v>
      </c>
      <c r="C63" s="5"/>
      <c r="D63" s="41"/>
      <c r="E63" s="5"/>
      <c r="F63" s="5"/>
      <c r="G63" s="5"/>
      <c r="H63" s="5"/>
      <c r="I63" s="5"/>
      <c r="J63" s="5"/>
      <c r="K63" s="5"/>
      <c r="L63" s="5"/>
      <c r="M63" s="5"/>
      <c r="N63" s="5"/>
      <c r="O63" s="5"/>
      <c r="P63" s="5"/>
      <c r="Q63" s="5"/>
      <c r="R63" s="5"/>
      <c r="S63" s="5"/>
      <c r="T63" s="5"/>
      <c r="U63" s="39"/>
      <c r="V63" s="41"/>
    </row>
    <row r="64" spans="1:22" ht="30.75" customHeight="1" x14ac:dyDescent="0.35">
      <c r="A64" s="83" t="s">
        <v>180</v>
      </c>
      <c r="B64" s="10" t="s">
        <v>95</v>
      </c>
      <c r="C64" s="10" t="s">
        <v>96</v>
      </c>
      <c r="D64" s="2" t="s">
        <v>97</v>
      </c>
      <c r="E64" s="4" t="s">
        <v>104</v>
      </c>
      <c r="F64" s="4" t="s">
        <v>61</v>
      </c>
      <c r="G64" s="4" t="s">
        <v>98</v>
      </c>
      <c r="H64" s="4" t="s">
        <v>99</v>
      </c>
      <c r="I64" s="4" t="s">
        <v>52</v>
      </c>
      <c r="J64" s="4" t="s">
        <v>52</v>
      </c>
      <c r="K64" s="4" t="s">
        <v>52</v>
      </c>
      <c r="L64" s="4" t="s">
        <v>69</v>
      </c>
      <c r="M64" s="4" t="s">
        <v>76</v>
      </c>
      <c r="N64" s="4" t="s">
        <v>53</v>
      </c>
      <c r="O64" s="4" t="s">
        <v>53</v>
      </c>
      <c r="P64" s="4"/>
      <c r="Q64" s="4" t="s">
        <v>55</v>
      </c>
      <c r="R64" s="4" t="s">
        <v>55</v>
      </c>
      <c r="S64" s="4" t="s">
        <v>56</v>
      </c>
      <c r="T64" s="4" t="s">
        <v>55</v>
      </c>
      <c r="U64" s="4"/>
      <c r="V64" s="2"/>
    </row>
    <row r="65" spans="1:22" s="40" customFormat="1" ht="30" customHeight="1" x14ac:dyDescent="0.25">
      <c r="A65" s="83" t="s">
        <v>180</v>
      </c>
      <c r="B65" s="10" t="s">
        <v>95</v>
      </c>
      <c r="C65" s="10" t="s">
        <v>116</v>
      </c>
      <c r="D65" s="4" t="s">
        <v>117</v>
      </c>
      <c r="E65" s="40" t="s">
        <v>104</v>
      </c>
      <c r="F65" s="40" t="s">
        <v>49</v>
      </c>
      <c r="G65" s="40" t="s">
        <v>50</v>
      </c>
      <c r="H65" s="40" t="s">
        <v>107</v>
      </c>
      <c r="I65" s="40" t="s">
        <v>63</v>
      </c>
      <c r="J65" s="40" t="s">
        <v>63</v>
      </c>
      <c r="K65" s="40" t="s">
        <v>52</v>
      </c>
      <c r="L65" s="40" t="s">
        <v>69</v>
      </c>
      <c r="M65" s="40" t="s">
        <v>76</v>
      </c>
      <c r="N65" s="40" t="s">
        <v>53</v>
      </c>
      <c r="O65" s="40" t="s">
        <v>53</v>
      </c>
      <c r="Q65" s="40" t="s">
        <v>55</v>
      </c>
      <c r="R65" s="40" t="s">
        <v>55</v>
      </c>
      <c r="S65" s="40" t="s">
        <v>56</v>
      </c>
      <c r="T65" s="40" t="s">
        <v>56</v>
      </c>
      <c r="V65" s="4"/>
    </row>
    <row r="66" spans="1:22" s="40" customFormat="1" ht="75" customHeight="1" x14ac:dyDescent="0.35">
      <c r="A66" s="84"/>
      <c r="B66" s="10" t="s">
        <v>95</v>
      </c>
      <c r="C66" s="10" t="s">
        <v>118</v>
      </c>
      <c r="D66" s="4" t="s">
        <v>119</v>
      </c>
      <c r="E66" s="40" t="s">
        <v>104</v>
      </c>
      <c r="F66" s="40" t="s">
        <v>61</v>
      </c>
      <c r="G66" s="40" t="s">
        <v>62</v>
      </c>
      <c r="H66" s="40" t="s">
        <v>62</v>
      </c>
      <c r="I66" s="40" t="s">
        <v>68</v>
      </c>
      <c r="J66" s="40" t="s">
        <v>52</v>
      </c>
      <c r="K66" s="40" t="s">
        <v>79</v>
      </c>
      <c r="L66" s="40" t="s">
        <v>54</v>
      </c>
      <c r="M66" s="40" t="s">
        <v>53</v>
      </c>
      <c r="N66" s="40" t="s">
        <v>53</v>
      </c>
      <c r="O66" s="40" t="s">
        <v>53</v>
      </c>
      <c r="P66" s="40" t="s">
        <v>55</v>
      </c>
      <c r="Q66" s="40" t="s">
        <v>55</v>
      </c>
      <c r="R66" s="40" t="s">
        <v>55</v>
      </c>
      <c r="S66" s="40" t="s">
        <v>56</v>
      </c>
      <c r="T66" s="40" t="s">
        <v>55</v>
      </c>
      <c r="V66" s="4"/>
    </row>
    <row r="67" spans="1:22" s="40" customFormat="1" ht="15" customHeight="1" x14ac:dyDescent="0.35">
      <c r="A67" s="84"/>
      <c r="B67" s="10" t="s">
        <v>95</v>
      </c>
      <c r="C67" s="10" t="s">
        <v>120</v>
      </c>
      <c r="D67" s="4" t="s">
        <v>121</v>
      </c>
      <c r="E67" s="40" t="s">
        <v>104</v>
      </c>
      <c r="F67" s="40" t="s">
        <v>61</v>
      </c>
      <c r="G67" s="40" t="s">
        <v>62</v>
      </c>
      <c r="H67" s="40" t="s">
        <v>115</v>
      </c>
      <c r="I67" s="40" t="s">
        <v>63</v>
      </c>
      <c r="J67" s="40" t="s">
        <v>52</v>
      </c>
      <c r="K67" s="40" t="s">
        <v>52</v>
      </c>
      <c r="L67" s="40" t="s">
        <v>69</v>
      </c>
      <c r="M67" s="40" t="s">
        <v>76</v>
      </c>
      <c r="N67" s="40" t="s">
        <v>53</v>
      </c>
      <c r="O67" s="40" t="s">
        <v>53</v>
      </c>
      <c r="P67" s="40" t="s">
        <v>55</v>
      </c>
      <c r="Q67" s="40" t="s">
        <v>55</v>
      </c>
      <c r="R67" s="40" t="s">
        <v>55</v>
      </c>
      <c r="S67" s="40" t="s">
        <v>56</v>
      </c>
      <c r="T67" s="40" t="s">
        <v>55</v>
      </c>
      <c r="V67" s="4"/>
    </row>
    <row r="68" spans="1:22" s="40" customFormat="1" ht="30" customHeight="1" x14ac:dyDescent="0.35">
      <c r="A68" s="84"/>
      <c r="B68" s="10" t="s">
        <v>95</v>
      </c>
      <c r="C68" s="10" t="s">
        <v>122</v>
      </c>
      <c r="D68" s="4" t="s">
        <v>123</v>
      </c>
      <c r="E68" s="40" t="s">
        <v>104</v>
      </c>
      <c r="F68" s="40" t="s">
        <v>49</v>
      </c>
      <c r="G68" s="40" t="s">
        <v>62</v>
      </c>
      <c r="H68" s="40" t="s">
        <v>107</v>
      </c>
      <c r="I68" s="40" t="s">
        <v>63</v>
      </c>
      <c r="J68" s="40" t="s">
        <v>52</v>
      </c>
      <c r="K68" s="40" t="s">
        <v>52</v>
      </c>
      <c r="L68" s="40" t="s">
        <v>69</v>
      </c>
      <c r="M68" s="40" t="s">
        <v>76</v>
      </c>
      <c r="N68" s="40" t="s">
        <v>53</v>
      </c>
      <c r="O68" s="40" t="s">
        <v>53</v>
      </c>
      <c r="P68" s="40" t="s">
        <v>55</v>
      </c>
      <c r="Q68" s="40" t="s">
        <v>55</v>
      </c>
      <c r="R68" s="40" t="s">
        <v>55</v>
      </c>
      <c r="S68" s="40" t="s">
        <v>56</v>
      </c>
      <c r="T68" s="40" t="s">
        <v>55</v>
      </c>
      <c r="V68" s="4"/>
    </row>
    <row r="69" spans="1:22" s="40" customFormat="1" ht="43.5" customHeight="1" x14ac:dyDescent="0.35">
      <c r="A69" s="84"/>
      <c r="B69" s="10" t="s">
        <v>95</v>
      </c>
      <c r="C69" s="10" t="s">
        <v>124</v>
      </c>
      <c r="D69" s="4" t="s">
        <v>125</v>
      </c>
      <c r="E69" s="40" t="s">
        <v>48</v>
      </c>
      <c r="F69" s="40" t="s">
        <v>61</v>
      </c>
      <c r="G69" s="40" t="s">
        <v>62</v>
      </c>
      <c r="H69" s="40" t="s">
        <v>62</v>
      </c>
      <c r="I69" s="40" t="s">
        <v>68</v>
      </c>
      <c r="J69" s="40" t="s">
        <v>52</v>
      </c>
      <c r="K69" s="40" t="s">
        <v>79</v>
      </c>
      <c r="L69" s="40" t="s">
        <v>54</v>
      </c>
      <c r="M69" s="40" t="s">
        <v>53</v>
      </c>
      <c r="N69" s="40" t="s">
        <v>53</v>
      </c>
      <c r="O69" s="40" t="s">
        <v>53</v>
      </c>
      <c r="P69" s="40" t="s">
        <v>55</v>
      </c>
      <c r="Q69" s="40" t="s">
        <v>56</v>
      </c>
      <c r="R69" s="40" t="s">
        <v>56</v>
      </c>
      <c r="S69" s="40" t="s">
        <v>56</v>
      </c>
      <c r="T69" s="40" t="s">
        <v>56</v>
      </c>
      <c r="V69" s="4"/>
    </row>
    <row r="70" spans="1:22" s="40" customFormat="1" ht="44.25" customHeight="1" x14ac:dyDescent="0.35">
      <c r="A70" s="84"/>
      <c r="B70" s="10" t="s">
        <v>95</v>
      </c>
      <c r="C70" s="10" t="s">
        <v>126</v>
      </c>
      <c r="D70" s="4" t="s">
        <v>127</v>
      </c>
      <c r="E70" s="40" t="s">
        <v>104</v>
      </c>
      <c r="F70" s="40" t="s">
        <v>61</v>
      </c>
      <c r="G70" s="40" t="s">
        <v>128</v>
      </c>
      <c r="H70" s="40" t="s">
        <v>129</v>
      </c>
      <c r="I70" s="40" t="s">
        <v>68</v>
      </c>
      <c r="J70" s="40" t="s">
        <v>52</v>
      </c>
      <c r="K70" s="40" t="s">
        <v>52</v>
      </c>
      <c r="L70" s="40" t="s">
        <v>54</v>
      </c>
      <c r="M70" s="40" t="s">
        <v>53</v>
      </c>
      <c r="N70" s="40" t="s">
        <v>53</v>
      </c>
      <c r="O70" s="40" t="s">
        <v>53</v>
      </c>
      <c r="P70" s="40" t="s">
        <v>55</v>
      </c>
      <c r="Q70" s="40" t="s">
        <v>55</v>
      </c>
      <c r="R70" s="40" t="s">
        <v>55</v>
      </c>
      <c r="S70" s="40" t="s">
        <v>56</v>
      </c>
      <c r="T70" s="40" t="s">
        <v>55</v>
      </c>
      <c r="V70" s="4"/>
    </row>
    <row r="71" spans="1:22" s="40" customFormat="1" ht="43.5" x14ac:dyDescent="0.35">
      <c r="A71" s="84"/>
      <c r="B71" s="10" t="s">
        <v>95</v>
      </c>
      <c r="C71" s="10" t="s">
        <v>130</v>
      </c>
      <c r="D71" s="4" t="s">
        <v>131</v>
      </c>
      <c r="E71" s="40" t="s">
        <v>104</v>
      </c>
      <c r="F71" s="40" t="s">
        <v>61</v>
      </c>
      <c r="G71" s="40" t="s">
        <v>73</v>
      </c>
      <c r="H71" s="40" t="s">
        <v>62</v>
      </c>
      <c r="I71" s="40" t="s">
        <v>63</v>
      </c>
      <c r="J71" s="40" t="s">
        <v>52</v>
      </c>
      <c r="K71" s="40" t="s">
        <v>52</v>
      </c>
      <c r="L71" s="40" t="s">
        <v>54</v>
      </c>
      <c r="M71" s="40" t="s">
        <v>53</v>
      </c>
      <c r="N71" s="40" t="s">
        <v>53</v>
      </c>
      <c r="O71" s="40" t="s">
        <v>53</v>
      </c>
      <c r="P71" s="40" t="s">
        <v>55</v>
      </c>
      <c r="Q71" s="40" t="s">
        <v>55</v>
      </c>
      <c r="R71" s="40" t="s">
        <v>55</v>
      </c>
      <c r="S71" s="40" t="s">
        <v>56</v>
      </c>
      <c r="T71" s="40" t="s">
        <v>55</v>
      </c>
      <c r="V71" s="4"/>
    </row>
    <row r="72" spans="1:22" s="40" customFormat="1" ht="45" customHeight="1" x14ac:dyDescent="0.35">
      <c r="A72" s="84"/>
      <c r="B72" s="10" t="s">
        <v>95</v>
      </c>
      <c r="C72" s="10" t="s">
        <v>132</v>
      </c>
      <c r="D72" s="4" t="s">
        <v>133</v>
      </c>
      <c r="E72" s="40" t="s">
        <v>104</v>
      </c>
      <c r="F72" s="40" t="s">
        <v>49</v>
      </c>
      <c r="G72" s="40" t="s">
        <v>62</v>
      </c>
      <c r="H72" s="40" t="s">
        <v>62</v>
      </c>
      <c r="I72" s="40" t="s">
        <v>63</v>
      </c>
      <c r="J72" s="40" t="s">
        <v>52</v>
      </c>
      <c r="K72" s="40" t="s">
        <v>52</v>
      </c>
      <c r="L72" s="40" t="s">
        <v>69</v>
      </c>
      <c r="M72" s="40" t="s">
        <v>53</v>
      </c>
      <c r="N72" s="40" t="s">
        <v>53</v>
      </c>
      <c r="O72" s="40" t="s">
        <v>53</v>
      </c>
      <c r="P72" s="40" t="s">
        <v>55</v>
      </c>
      <c r="Q72" s="40" t="s">
        <v>55</v>
      </c>
      <c r="R72" s="40" t="s">
        <v>56</v>
      </c>
      <c r="S72" s="40" t="s">
        <v>56</v>
      </c>
      <c r="T72" s="40" t="s">
        <v>56</v>
      </c>
      <c r="V72" s="4"/>
    </row>
    <row r="73" spans="1:22" s="40" customFormat="1" ht="60" customHeight="1" x14ac:dyDescent="0.35">
      <c r="A73" s="84"/>
      <c r="B73" s="10" t="s">
        <v>95</v>
      </c>
      <c r="C73" s="10" t="s">
        <v>100</v>
      </c>
      <c r="D73" s="4" t="s">
        <v>101</v>
      </c>
      <c r="E73" s="40" t="s">
        <v>48</v>
      </c>
      <c r="F73" s="40" t="s">
        <v>49</v>
      </c>
      <c r="G73" s="40" t="s">
        <v>62</v>
      </c>
      <c r="H73" s="40" t="s">
        <v>62</v>
      </c>
      <c r="I73" s="40" t="s">
        <v>63</v>
      </c>
      <c r="J73" s="40" t="s">
        <v>52</v>
      </c>
      <c r="K73" s="40" t="s">
        <v>52</v>
      </c>
      <c r="L73" s="40" t="s">
        <v>69</v>
      </c>
      <c r="M73" s="40" t="s">
        <v>53</v>
      </c>
      <c r="N73" s="40" t="s">
        <v>53</v>
      </c>
      <c r="O73" s="40" t="s">
        <v>53</v>
      </c>
      <c r="P73" s="40" t="s">
        <v>55</v>
      </c>
      <c r="Q73" s="40" t="s">
        <v>56</v>
      </c>
      <c r="R73" s="40" t="s">
        <v>56</v>
      </c>
      <c r="S73" s="40" t="s">
        <v>56</v>
      </c>
      <c r="T73" s="40" t="s">
        <v>56</v>
      </c>
      <c r="V73" s="4"/>
    </row>
    <row r="74" spans="1:22" s="40" customFormat="1" ht="45" customHeight="1" x14ac:dyDescent="0.35">
      <c r="A74" s="84"/>
      <c r="B74" s="10" t="s">
        <v>95</v>
      </c>
      <c r="C74" s="10" t="s">
        <v>102</v>
      </c>
      <c r="D74" s="4" t="s">
        <v>103</v>
      </c>
      <c r="E74" s="40" t="s">
        <v>104</v>
      </c>
      <c r="F74" s="40" t="s">
        <v>61</v>
      </c>
      <c r="G74" s="40" t="s">
        <v>62</v>
      </c>
      <c r="H74" s="40" t="s">
        <v>62</v>
      </c>
      <c r="I74" s="40" t="s">
        <v>63</v>
      </c>
      <c r="J74" s="40" t="s">
        <v>52</v>
      </c>
      <c r="K74" s="40" t="s">
        <v>52</v>
      </c>
      <c r="L74" s="40" t="s">
        <v>54</v>
      </c>
      <c r="M74" s="40" t="s">
        <v>53</v>
      </c>
      <c r="N74" s="40" t="s">
        <v>53</v>
      </c>
      <c r="O74" s="40" t="s">
        <v>53</v>
      </c>
      <c r="P74" s="40" t="s">
        <v>55</v>
      </c>
      <c r="Q74" s="40" t="s">
        <v>55</v>
      </c>
      <c r="R74" s="40" t="s">
        <v>56</v>
      </c>
      <c r="S74" s="40" t="s">
        <v>56</v>
      </c>
      <c r="T74" s="40" t="s">
        <v>55</v>
      </c>
      <c r="V74" s="4"/>
    </row>
    <row r="75" spans="1:22" s="40" customFormat="1" ht="30" customHeight="1" x14ac:dyDescent="0.35">
      <c r="A75" s="84"/>
      <c r="B75" s="10" t="s">
        <v>95</v>
      </c>
      <c r="C75" s="10" t="s">
        <v>105</v>
      </c>
      <c r="D75" s="4" t="s">
        <v>106</v>
      </c>
      <c r="E75" s="40" t="s">
        <v>104</v>
      </c>
      <c r="F75" s="40" t="s">
        <v>61</v>
      </c>
      <c r="G75" s="40" t="s">
        <v>50</v>
      </c>
      <c r="H75" s="40" t="s">
        <v>107</v>
      </c>
      <c r="I75" s="40" t="s">
        <v>63</v>
      </c>
      <c r="J75" s="40" t="s">
        <v>63</v>
      </c>
      <c r="K75" s="40" t="s">
        <v>52</v>
      </c>
      <c r="L75" s="40" t="s">
        <v>54</v>
      </c>
      <c r="M75" s="40" t="s">
        <v>53</v>
      </c>
      <c r="N75" s="40" t="s">
        <v>53</v>
      </c>
      <c r="O75" s="40" t="s">
        <v>53</v>
      </c>
      <c r="P75" s="40" t="s">
        <v>55</v>
      </c>
      <c r="Q75" s="40" t="s">
        <v>55</v>
      </c>
      <c r="R75" s="40" t="s">
        <v>56</v>
      </c>
      <c r="S75" s="40" t="s">
        <v>56</v>
      </c>
      <c r="T75" s="40" t="s">
        <v>55</v>
      </c>
      <c r="V75" s="4"/>
    </row>
    <row r="76" spans="1:22" s="40" customFormat="1" ht="58" x14ac:dyDescent="0.35">
      <c r="A76" s="84"/>
      <c r="B76" s="10" t="s">
        <v>95</v>
      </c>
      <c r="C76" s="10" t="s">
        <v>108</v>
      </c>
      <c r="D76" s="4" t="s">
        <v>595</v>
      </c>
      <c r="E76" s="40" t="s">
        <v>104</v>
      </c>
      <c r="F76" s="40" t="s">
        <v>49</v>
      </c>
      <c r="G76" s="40" t="s">
        <v>98</v>
      </c>
      <c r="H76" s="40" t="s">
        <v>99</v>
      </c>
      <c r="I76" s="40" t="s">
        <v>52</v>
      </c>
      <c r="J76" s="40" t="s">
        <v>52</v>
      </c>
      <c r="K76" s="40" t="s">
        <v>52</v>
      </c>
      <c r="L76" s="40" t="s">
        <v>110</v>
      </c>
      <c r="M76" s="40" t="s">
        <v>76</v>
      </c>
      <c r="N76" s="40" t="s">
        <v>53</v>
      </c>
      <c r="O76" s="40" t="s">
        <v>53</v>
      </c>
      <c r="P76" s="40" t="s">
        <v>55</v>
      </c>
      <c r="Q76" s="40" t="s">
        <v>55</v>
      </c>
      <c r="R76" s="40" t="s">
        <v>56</v>
      </c>
      <c r="S76" s="40" t="s">
        <v>56</v>
      </c>
      <c r="T76" s="40" t="s">
        <v>56</v>
      </c>
      <c r="V76" s="4"/>
    </row>
    <row r="77" spans="1:22" s="40" customFormat="1" ht="29" x14ac:dyDescent="0.35">
      <c r="A77" s="84"/>
      <c r="B77" s="10" t="s">
        <v>95</v>
      </c>
      <c r="C77" s="10" t="s">
        <v>111</v>
      </c>
      <c r="D77" s="4" t="s">
        <v>112</v>
      </c>
      <c r="E77" s="40" t="s">
        <v>104</v>
      </c>
      <c r="F77" s="40" t="s">
        <v>49</v>
      </c>
      <c r="G77" s="40" t="s">
        <v>50</v>
      </c>
      <c r="H77" s="40" t="s">
        <v>99</v>
      </c>
      <c r="I77" s="40" t="s">
        <v>63</v>
      </c>
      <c r="J77" s="40" t="s">
        <v>52</v>
      </c>
      <c r="K77" s="40" t="s">
        <v>63</v>
      </c>
      <c r="L77" s="40" t="s">
        <v>54</v>
      </c>
      <c r="M77" s="40" t="s">
        <v>53</v>
      </c>
      <c r="N77" s="40" t="s">
        <v>53</v>
      </c>
      <c r="O77" s="40" t="s">
        <v>53</v>
      </c>
      <c r="P77" s="40" t="s">
        <v>55</v>
      </c>
      <c r="Q77" s="40" t="s">
        <v>55</v>
      </c>
      <c r="R77" s="40" t="s">
        <v>55</v>
      </c>
      <c r="S77" s="40" t="s">
        <v>56</v>
      </c>
      <c r="T77" s="40" t="s">
        <v>55</v>
      </c>
      <c r="V77" s="4"/>
    </row>
    <row r="78" spans="1:22" s="40" customFormat="1" ht="45" customHeight="1" x14ac:dyDescent="0.35">
      <c r="A78" s="84"/>
      <c r="B78" s="10" t="s">
        <v>95</v>
      </c>
      <c r="C78" s="10" t="s">
        <v>113</v>
      </c>
      <c r="D78" s="4" t="s">
        <v>114</v>
      </c>
      <c r="E78" s="40" t="s">
        <v>104</v>
      </c>
      <c r="F78" s="40" t="s">
        <v>49</v>
      </c>
      <c r="G78" s="40" t="s">
        <v>62</v>
      </c>
      <c r="H78" s="40" t="s">
        <v>115</v>
      </c>
      <c r="I78" s="40" t="s">
        <v>79</v>
      </c>
      <c r="J78" s="40" t="s">
        <v>52</v>
      </c>
      <c r="K78" s="40" t="s">
        <v>63</v>
      </c>
      <c r="L78" s="40" t="s">
        <v>110</v>
      </c>
      <c r="M78" s="40" t="s">
        <v>76</v>
      </c>
      <c r="N78" s="40" t="s">
        <v>53</v>
      </c>
      <c r="O78" s="40" t="s">
        <v>53</v>
      </c>
      <c r="P78" s="40" t="s">
        <v>55</v>
      </c>
      <c r="Q78" s="40" t="s">
        <v>55</v>
      </c>
      <c r="R78" s="40" t="s">
        <v>56</v>
      </c>
      <c r="S78" s="40" t="s">
        <v>56</v>
      </c>
      <c r="T78" s="40" t="s">
        <v>56</v>
      </c>
      <c r="V78" s="4"/>
    </row>
    <row r="79" spans="1:22" ht="26.25" customHeight="1" x14ac:dyDescent="0.4">
      <c r="B79" s="6" t="s">
        <v>92</v>
      </c>
      <c r="C79" s="5"/>
      <c r="D79" s="41"/>
      <c r="E79" s="5"/>
      <c r="F79" s="5"/>
      <c r="G79" s="5"/>
      <c r="H79" s="5"/>
      <c r="I79" s="5"/>
      <c r="J79" s="5"/>
      <c r="K79" s="5"/>
      <c r="L79" s="5"/>
      <c r="M79" s="5"/>
      <c r="N79" s="5"/>
      <c r="O79" s="5"/>
      <c r="P79" s="5"/>
      <c r="Q79" s="5"/>
      <c r="R79" s="5"/>
      <c r="S79" s="5"/>
      <c r="T79" s="5"/>
      <c r="U79" s="39"/>
      <c r="V79" s="5"/>
    </row>
    <row r="80" spans="1:22" ht="58" x14ac:dyDescent="0.35">
      <c r="A80" s="85" t="s">
        <v>44</v>
      </c>
      <c r="B80" s="10" t="s">
        <v>92</v>
      </c>
      <c r="C80" s="10" t="s">
        <v>434</v>
      </c>
      <c r="D80" s="4" t="s">
        <v>171</v>
      </c>
      <c r="E80" s="4" t="s">
        <v>104</v>
      </c>
      <c r="F80" s="4" t="s">
        <v>49</v>
      </c>
      <c r="G80" s="4" t="s">
        <v>50</v>
      </c>
      <c r="H80" s="4" t="s">
        <v>160</v>
      </c>
      <c r="I80" s="4" t="s">
        <v>52</v>
      </c>
      <c r="J80" s="4" t="s">
        <v>52</v>
      </c>
      <c r="K80" s="4" t="s">
        <v>63</v>
      </c>
      <c r="L80" s="4" t="s">
        <v>110</v>
      </c>
      <c r="M80" s="4" t="s">
        <v>75</v>
      </c>
      <c r="N80" s="4" t="s">
        <v>91</v>
      </c>
      <c r="O80" s="4" t="s">
        <v>52</v>
      </c>
      <c r="P80" s="4" t="s">
        <v>56</v>
      </c>
      <c r="Q80" s="4" t="s">
        <v>56</v>
      </c>
      <c r="R80" s="4" t="s">
        <v>55</v>
      </c>
      <c r="S80" s="4" t="s">
        <v>55</v>
      </c>
      <c r="T80" s="4" t="s">
        <v>55</v>
      </c>
      <c r="U80" s="4" t="s">
        <v>172</v>
      </c>
      <c r="V80" s="2" t="s">
        <v>173</v>
      </c>
    </row>
    <row r="81" spans="1:22" s="40" customFormat="1" ht="80.25" customHeight="1" x14ac:dyDescent="0.35">
      <c r="A81" s="85" t="s">
        <v>208</v>
      </c>
      <c r="B81" s="10" t="s">
        <v>92</v>
      </c>
      <c r="C81" s="10" t="s">
        <v>451</v>
      </c>
      <c r="D81" s="9" t="s">
        <v>176</v>
      </c>
      <c r="E81" s="40" t="s">
        <v>87</v>
      </c>
      <c r="F81" s="40" t="s">
        <v>61</v>
      </c>
      <c r="G81" s="40" t="s">
        <v>62</v>
      </c>
      <c r="H81" s="40" t="s">
        <v>177</v>
      </c>
      <c r="I81" s="40" t="s">
        <v>52</v>
      </c>
      <c r="J81" s="40" t="s">
        <v>63</v>
      </c>
      <c r="K81" s="40" t="s">
        <v>63</v>
      </c>
      <c r="L81" s="40" t="s">
        <v>69</v>
      </c>
      <c r="M81" s="40" t="s">
        <v>75</v>
      </c>
      <c r="N81" s="40" t="s">
        <v>76</v>
      </c>
      <c r="O81" s="40" t="s">
        <v>63</v>
      </c>
      <c r="P81" s="40" t="s">
        <v>56</v>
      </c>
      <c r="Q81" s="40" t="s">
        <v>56</v>
      </c>
      <c r="R81" s="40" t="s">
        <v>55</v>
      </c>
      <c r="S81" s="40" t="s">
        <v>55</v>
      </c>
      <c r="T81" s="40" t="s">
        <v>56</v>
      </c>
      <c r="U81" s="4" t="s">
        <v>178</v>
      </c>
      <c r="V81" s="4" t="s">
        <v>179</v>
      </c>
    </row>
    <row r="82" spans="1:22" s="40" customFormat="1" ht="30" customHeight="1" x14ac:dyDescent="0.25">
      <c r="A82" s="86" t="s">
        <v>180</v>
      </c>
      <c r="B82" s="10" t="s">
        <v>92</v>
      </c>
      <c r="C82" s="10" t="s">
        <v>441</v>
      </c>
      <c r="D82" s="4" t="s">
        <v>182</v>
      </c>
      <c r="E82" s="40" t="s">
        <v>104</v>
      </c>
      <c r="F82" s="40" t="s">
        <v>49</v>
      </c>
      <c r="G82" s="40" t="s">
        <v>183</v>
      </c>
      <c r="H82" s="40" t="s">
        <v>160</v>
      </c>
      <c r="I82" s="40" t="s">
        <v>52</v>
      </c>
      <c r="J82" s="40" t="s">
        <v>52</v>
      </c>
      <c r="K82" s="40" t="s">
        <v>63</v>
      </c>
      <c r="L82" s="40" t="s">
        <v>110</v>
      </c>
      <c r="M82" s="40" t="s">
        <v>76</v>
      </c>
      <c r="N82" s="40" t="s">
        <v>91</v>
      </c>
      <c r="O82" s="40" t="s">
        <v>52</v>
      </c>
      <c r="P82" s="40" t="s">
        <v>56</v>
      </c>
      <c r="Q82" s="40" t="s">
        <v>55</v>
      </c>
      <c r="R82" s="40" t="s">
        <v>55</v>
      </c>
      <c r="S82" s="40" t="s">
        <v>55</v>
      </c>
      <c r="T82" s="40" t="s">
        <v>56</v>
      </c>
      <c r="V82" s="4"/>
    </row>
    <row r="83" spans="1:22" s="40" customFormat="1" ht="30" customHeight="1" x14ac:dyDescent="0.25">
      <c r="A83" s="86" t="s">
        <v>180</v>
      </c>
      <c r="B83" s="10" t="s">
        <v>92</v>
      </c>
      <c r="C83" s="10" t="s">
        <v>443</v>
      </c>
      <c r="D83" s="4" t="s">
        <v>185</v>
      </c>
      <c r="E83" s="40" t="s">
        <v>104</v>
      </c>
      <c r="F83" s="40" t="s">
        <v>49</v>
      </c>
      <c r="G83" s="40" t="s">
        <v>98</v>
      </c>
      <c r="H83" s="40" t="s">
        <v>160</v>
      </c>
      <c r="I83" s="40" t="s">
        <v>52</v>
      </c>
      <c r="J83" s="40" t="s">
        <v>52</v>
      </c>
      <c r="K83" s="40" t="s">
        <v>63</v>
      </c>
      <c r="L83" s="40" t="s">
        <v>110</v>
      </c>
      <c r="M83" s="40" t="s">
        <v>76</v>
      </c>
      <c r="N83" s="40" t="s">
        <v>91</v>
      </c>
      <c r="O83" s="40" t="s">
        <v>52</v>
      </c>
      <c r="P83" s="40" t="s">
        <v>56</v>
      </c>
      <c r="Q83" s="40" t="s">
        <v>55</v>
      </c>
      <c r="R83" s="40" t="s">
        <v>55</v>
      </c>
      <c r="S83" s="40" t="s">
        <v>55</v>
      </c>
      <c r="T83" s="40" t="s">
        <v>56</v>
      </c>
      <c r="V83" s="4"/>
    </row>
    <row r="84" spans="1:22" s="40" customFormat="1" ht="45" customHeight="1" x14ac:dyDescent="0.35">
      <c r="A84" s="85"/>
      <c r="B84" s="10" t="s">
        <v>92</v>
      </c>
      <c r="C84" s="10" t="s">
        <v>587</v>
      </c>
      <c r="D84" s="4" t="s">
        <v>187</v>
      </c>
      <c r="E84" s="40" t="s">
        <v>104</v>
      </c>
      <c r="F84" s="40" t="s">
        <v>49</v>
      </c>
      <c r="G84" s="40" t="s">
        <v>62</v>
      </c>
      <c r="H84" s="40" t="s">
        <v>160</v>
      </c>
      <c r="I84" s="40" t="s">
        <v>63</v>
      </c>
      <c r="J84" s="40" t="s">
        <v>53</v>
      </c>
      <c r="K84" s="40" t="s">
        <v>53</v>
      </c>
      <c r="L84" s="40" t="s">
        <v>69</v>
      </c>
      <c r="M84" s="40" t="s">
        <v>76</v>
      </c>
      <c r="N84" s="40" t="s">
        <v>91</v>
      </c>
      <c r="O84" s="40" t="s">
        <v>52</v>
      </c>
      <c r="P84" s="40" t="s">
        <v>56</v>
      </c>
      <c r="Q84" s="40" t="s">
        <v>56</v>
      </c>
      <c r="R84" s="40" t="s">
        <v>55</v>
      </c>
      <c r="S84" s="40" t="s">
        <v>55</v>
      </c>
      <c r="T84" s="40" t="s">
        <v>56</v>
      </c>
      <c r="U84" s="40" t="s">
        <v>188</v>
      </c>
      <c r="V84" s="4"/>
    </row>
    <row r="85" spans="1:22" s="40" customFormat="1" ht="29" x14ac:dyDescent="0.35">
      <c r="A85" s="85"/>
      <c r="B85" s="10" t="s">
        <v>92</v>
      </c>
      <c r="C85" s="10" t="s">
        <v>453</v>
      </c>
      <c r="D85" s="4" t="s">
        <v>190</v>
      </c>
      <c r="E85" s="40" t="s">
        <v>104</v>
      </c>
      <c r="F85" s="40" t="s">
        <v>49</v>
      </c>
      <c r="G85" s="40" t="s">
        <v>62</v>
      </c>
      <c r="H85" s="40" t="s">
        <v>177</v>
      </c>
      <c r="I85" s="40" t="s">
        <v>79</v>
      </c>
      <c r="J85" s="40" t="s">
        <v>52</v>
      </c>
      <c r="K85" s="40" t="s">
        <v>53</v>
      </c>
      <c r="L85" s="40" t="s">
        <v>69</v>
      </c>
      <c r="M85" s="40" t="s">
        <v>75</v>
      </c>
      <c r="N85" s="40" t="s">
        <v>91</v>
      </c>
      <c r="O85" s="40" t="s">
        <v>52</v>
      </c>
      <c r="P85" s="40" t="s">
        <v>56</v>
      </c>
      <c r="Q85" s="40" t="s">
        <v>55</v>
      </c>
      <c r="R85" s="40" t="s">
        <v>55</v>
      </c>
      <c r="S85" s="40" t="s">
        <v>55</v>
      </c>
      <c r="T85" s="40" t="s">
        <v>56</v>
      </c>
      <c r="U85" s="40" t="s">
        <v>191</v>
      </c>
      <c r="V85" s="4" t="s">
        <v>192</v>
      </c>
    </row>
    <row r="86" spans="1:22" s="40" customFormat="1" ht="30" customHeight="1" x14ac:dyDescent="0.35">
      <c r="A86" s="85"/>
      <c r="B86" s="10" t="s">
        <v>92</v>
      </c>
      <c r="C86" s="10" t="s">
        <v>605</v>
      </c>
      <c r="D86" s="4" t="s">
        <v>194</v>
      </c>
      <c r="E86" s="40" t="s">
        <v>104</v>
      </c>
      <c r="F86" s="40" t="s">
        <v>49</v>
      </c>
      <c r="G86" s="40" t="s">
        <v>62</v>
      </c>
      <c r="H86" s="40" t="s">
        <v>177</v>
      </c>
      <c r="I86" s="40" t="s">
        <v>63</v>
      </c>
      <c r="J86" s="40" t="s">
        <v>53</v>
      </c>
      <c r="K86" s="40" t="s">
        <v>53</v>
      </c>
      <c r="L86" s="40" t="s">
        <v>54</v>
      </c>
      <c r="M86" s="40" t="s">
        <v>76</v>
      </c>
      <c r="N86" s="40" t="s">
        <v>76</v>
      </c>
      <c r="O86" s="40" t="s">
        <v>63</v>
      </c>
      <c r="P86" s="40" t="s">
        <v>56</v>
      </c>
      <c r="Q86" s="40" t="s">
        <v>55</v>
      </c>
      <c r="R86" s="40" t="s">
        <v>55</v>
      </c>
      <c r="S86" s="40" t="s">
        <v>55</v>
      </c>
      <c r="T86" s="40" t="s">
        <v>55</v>
      </c>
      <c r="U86" s="40" t="s">
        <v>83</v>
      </c>
      <c r="V86" s="4"/>
    </row>
    <row r="87" spans="1:22" s="40" customFormat="1" ht="48.75" customHeight="1" x14ac:dyDescent="0.25">
      <c r="A87" s="86" t="s">
        <v>180</v>
      </c>
      <c r="B87" s="10" t="s">
        <v>92</v>
      </c>
      <c r="C87" s="10" t="s">
        <v>606</v>
      </c>
      <c r="D87" s="4" t="s">
        <v>607</v>
      </c>
      <c r="E87" s="40" t="s">
        <v>48</v>
      </c>
      <c r="F87" s="40" t="s">
        <v>198</v>
      </c>
      <c r="G87" s="40" t="s">
        <v>183</v>
      </c>
      <c r="H87" s="40" t="s">
        <v>51</v>
      </c>
      <c r="I87" s="40" t="s">
        <v>63</v>
      </c>
      <c r="J87" s="40" t="s">
        <v>79</v>
      </c>
      <c r="K87" s="40" t="s">
        <v>53</v>
      </c>
      <c r="L87" s="40" t="s">
        <v>54</v>
      </c>
      <c r="M87" s="40" t="s">
        <v>75</v>
      </c>
      <c r="N87" s="40" t="s">
        <v>53</v>
      </c>
      <c r="O87" s="40" t="s">
        <v>53</v>
      </c>
      <c r="P87" s="40" t="s">
        <v>56</v>
      </c>
      <c r="Q87" s="40" t="s">
        <v>56</v>
      </c>
      <c r="R87" s="40" t="s">
        <v>55</v>
      </c>
      <c r="S87" s="40" t="s">
        <v>55</v>
      </c>
      <c r="T87" s="40" t="s">
        <v>55</v>
      </c>
      <c r="U87" s="40" t="s">
        <v>263</v>
      </c>
      <c r="V87" s="4" t="s">
        <v>608</v>
      </c>
    </row>
    <row r="88" spans="1:22" s="40" customFormat="1" ht="30" customHeight="1" x14ac:dyDescent="0.35">
      <c r="A88" s="85"/>
      <c r="B88" s="10" t="s">
        <v>92</v>
      </c>
      <c r="C88" s="10" t="s">
        <v>609</v>
      </c>
      <c r="D88" s="4" t="s">
        <v>202</v>
      </c>
      <c r="E88" s="40" t="s">
        <v>104</v>
      </c>
      <c r="F88" s="40" t="s">
        <v>61</v>
      </c>
      <c r="G88" s="40" t="s">
        <v>62</v>
      </c>
      <c r="H88" s="40" t="s">
        <v>62</v>
      </c>
      <c r="I88" s="40" t="s">
        <v>63</v>
      </c>
      <c r="J88" s="40" t="s">
        <v>52</v>
      </c>
      <c r="K88" s="40" t="s">
        <v>53</v>
      </c>
      <c r="L88" s="40" t="s">
        <v>54</v>
      </c>
      <c r="M88" s="40" t="s">
        <v>76</v>
      </c>
      <c r="N88" s="40" t="s">
        <v>75</v>
      </c>
      <c r="O88" s="40" t="s">
        <v>63</v>
      </c>
      <c r="P88" s="40" t="s">
        <v>56</v>
      </c>
      <c r="Q88" s="40" t="s">
        <v>55</v>
      </c>
      <c r="R88" s="40" t="s">
        <v>56</v>
      </c>
      <c r="S88" s="40" t="s">
        <v>55</v>
      </c>
      <c r="T88" s="40" t="s">
        <v>55</v>
      </c>
      <c r="V88" s="4" t="s">
        <v>203</v>
      </c>
    </row>
    <row r="89" spans="1:22" s="40" customFormat="1" ht="30" customHeight="1" x14ac:dyDescent="0.35">
      <c r="A89" s="85"/>
      <c r="B89" s="10" t="s">
        <v>92</v>
      </c>
      <c r="C89" s="10" t="s">
        <v>204</v>
      </c>
      <c r="D89" s="4" t="s">
        <v>598</v>
      </c>
      <c r="E89" s="40" t="s">
        <v>104</v>
      </c>
      <c r="V89" s="4"/>
    </row>
    <row r="90" spans="1:22" s="40" customFormat="1" ht="30" customHeight="1" x14ac:dyDescent="0.35">
      <c r="A90" s="85"/>
      <c r="B90" s="10" t="s">
        <v>92</v>
      </c>
      <c r="C90" s="10" t="s">
        <v>206</v>
      </c>
      <c r="D90" s="4" t="s">
        <v>599</v>
      </c>
      <c r="E90" s="40" t="s">
        <v>104</v>
      </c>
      <c r="V90" s="4"/>
    </row>
    <row r="91" spans="1:22" s="40" customFormat="1" ht="69.75" customHeight="1" x14ac:dyDescent="0.35">
      <c r="A91" s="85"/>
      <c r="B91" s="10"/>
      <c r="C91" s="10"/>
      <c r="D91" s="149" t="s">
        <v>614</v>
      </c>
      <c r="E91" s="150" t="s">
        <v>87</v>
      </c>
      <c r="F91" s="150" t="s">
        <v>49</v>
      </c>
      <c r="G91" s="150" t="s">
        <v>62</v>
      </c>
      <c r="H91" s="150" t="s">
        <v>177</v>
      </c>
      <c r="I91" s="150" t="s">
        <v>79</v>
      </c>
      <c r="J91" s="150" t="s">
        <v>63</v>
      </c>
      <c r="K91" s="150" t="s">
        <v>53</v>
      </c>
      <c r="L91" s="150" t="s">
        <v>110</v>
      </c>
      <c r="M91" s="150" t="s">
        <v>76</v>
      </c>
      <c r="N91" s="150" t="s">
        <v>76</v>
      </c>
      <c r="O91" s="150" t="s">
        <v>53</v>
      </c>
      <c r="P91" s="150" t="s">
        <v>56</v>
      </c>
      <c r="Q91" s="150" t="s">
        <v>56</v>
      </c>
      <c r="R91" s="150" t="s">
        <v>56</v>
      </c>
      <c r="S91" s="150" t="s">
        <v>55</v>
      </c>
      <c r="T91" s="150" t="s">
        <v>56</v>
      </c>
      <c r="U91" s="149" t="s">
        <v>178</v>
      </c>
      <c r="V91" s="149" t="s">
        <v>615</v>
      </c>
    </row>
    <row r="92" spans="1:22" s="40" customFormat="1" ht="30" customHeight="1" x14ac:dyDescent="0.35">
      <c r="A92" s="85" t="s">
        <v>208</v>
      </c>
      <c r="B92" s="10" t="s">
        <v>92</v>
      </c>
      <c r="C92" s="10" t="s">
        <v>209</v>
      </c>
      <c r="D92" s="149" t="s">
        <v>210</v>
      </c>
      <c r="E92" s="40" t="s">
        <v>48</v>
      </c>
      <c r="F92" s="40" t="s">
        <v>49</v>
      </c>
      <c r="G92" s="40" t="s">
        <v>74</v>
      </c>
      <c r="H92" s="40" t="s">
        <v>160</v>
      </c>
      <c r="I92" s="40" t="s">
        <v>63</v>
      </c>
      <c r="J92" s="40" t="s">
        <v>53</v>
      </c>
      <c r="K92" s="40" t="s">
        <v>53</v>
      </c>
      <c r="L92" s="40" t="s">
        <v>54</v>
      </c>
      <c r="M92" s="40" t="s">
        <v>53</v>
      </c>
      <c r="N92" s="40" t="s">
        <v>53</v>
      </c>
      <c r="O92" s="40" t="s">
        <v>53</v>
      </c>
      <c r="P92" s="40" t="s">
        <v>55</v>
      </c>
      <c r="Q92" s="40" t="s">
        <v>56</v>
      </c>
      <c r="R92" s="40" t="s">
        <v>55</v>
      </c>
      <c r="S92" s="40" t="s">
        <v>55</v>
      </c>
      <c r="T92" s="40" t="s">
        <v>55</v>
      </c>
      <c r="V92" s="4"/>
    </row>
    <row r="93" spans="1:22" s="40" customFormat="1" ht="30" customHeight="1" x14ac:dyDescent="0.35">
      <c r="A93" s="85" t="s">
        <v>208</v>
      </c>
      <c r="B93" s="10" t="s">
        <v>92</v>
      </c>
      <c r="C93" s="10" t="s">
        <v>211</v>
      </c>
      <c r="D93" s="149" t="s">
        <v>600</v>
      </c>
      <c r="E93" s="40" t="s">
        <v>48</v>
      </c>
      <c r="F93" s="40" t="s">
        <v>61</v>
      </c>
      <c r="G93" s="40" t="s">
        <v>74</v>
      </c>
      <c r="H93" s="40" t="s">
        <v>160</v>
      </c>
      <c r="I93" s="40" t="s">
        <v>63</v>
      </c>
      <c r="J93" s="40" t="s">
        <v>53</v>
      </c>
      <c r="K93" s="40" t="s">
        <v>53</v>
      </c>
      <c r="L93" s="40" t="s">
        <v>54</v>
      </c>
      <c r="M93" s="40" t="s">
        <v>53</v>
      </c>
      <c r="N93" s="40" t="s">
        <v>53</v>
      </c>
      <c r="O93" s="40" t="s">
        <v>53</v>
      </c>
      <c r="P93" s="40" t="s">
        <v>55</v>
      </c>
      <c r="Q93" s="40" t="s">
        <v>56</v>
      </c>
      <c r="R93" s="40" t="s">
        <v>55</v>
      </c>
      <c r="S93" s="40" t="s">
        <v>55</v>
      </c>
      <c r="T93" s="40" t="s">
        <v>55</v>
      </c>
      <c r="V93" s="4"/>
    </row>
    <row r="94" spans="1:22" s="40" customFormat="1" ht="30" customHeight="1" x14ac:dyDescent="0.35">
      <c r="A94" s="85" t="s">
        <v>208</v>
      </c>
      <c r="B94" s="10" t="s">
        <v>92</v>
      </c>
      <c r="C94" s="10" t="s">
        <v>213</v>
      </c>
      <c r="D94" s="149" t="s">
        <v>214</v>
      </c>
      <c r="E94" s="40" t="s">
        <v>48</v>
      </c>
      <c r="F94" s="40" t="s">
        <v>61</v>
      </c>
      <c r="G94" s="40" t="s">
        <v>74</v>
      </c>
      <c r="H94" s="40" t="s">
        <v>160</v>
      </c>
      <c r="I94" s="40" t="s">
        <v>63</v>
      </c>
      <c r="J94" s="40" t="s">
        <v>53</v>
      </c>
      <c r="K94" s="40" t="s">
        <v>53</v>
      </c>
      <c r="L94" s="40" t="s">
        <v>54</v>
      </c>
      <c r="M94" s="40" t="s">
        <v>53</v>
      </c>
      <c r="N94" s="40" t="s">
        <v>53</v>
      </c>
      <c r="O94" s="40" t="s">
        <v>53</v>
      </c>
      <c r="P94" s="40" t="s">
        <v>55</v>
      </c>
      <c r="Q94" s="40" t="s">
        <v>56</v>
      </c>
      <c r="R94" s="40" t="s">
        <v>55</v>
      </c>
      <c r="S94" s="40" t="s">
        <v>55</v>
      </c>
      <c r="T94" s="40" t="s">
        <v>55</v>
      </c>
      <c r="V94" s="4"/>
    </row>
    <row r="95" spans="1:22" s="40" customFormat="1" ht="30" customHeight="1" x14ac:dyDescent="0.35">
      <c r="A95" s="85" t="s">
        <v>208</v>
      </c>
      <c r="B95" s="10" t="s">
        <v>92</v>
      </c>
      <c r="C95" s="10" t="s">
        <v>215</v>
      </c>
      <c r="D95" s="149" t="s">
        <v>216</v>
      </c>
      <c r="E95" s="40" t="s">
        <v>151</v>
      </c>
      <c r="F95" s="40" t="s">
        <v>219</v>
      </c>
      <c r="G95" s="40" t="s">
        <v>74</v>
      </c>
      <c r="H95" s="40" t="s">
        <v>160</v>
      </c>
      <c r="I95" s="40" t="s">
        <v>52</v>
      </c>
      <c r="J95" s="40" t="s">
        <v>53</v>
      </c>
      <c r="K95" s="40" t="s">
        <v>53</v>
      </c>
      <c r="L95" s="40" t="s">
        <v>69</v>
      </c>
      <c r="M95" s="40" t="s">
        <v>53</v>
      </c>
      <c r="N95" s="40" t="s">
        <v>76</v>
      </c>
      <c r="O95" s="40" t="s">
        <v>53</v>
      </c>
      <c r="P95" s="40" t="s">
        <v>55</v>
      </c>
      <c r="Q95" s="40" t="s">
        <v>55</v>
      </c>
      <c r="R95" s="40" t="s">
        <v>55</v>
      </c>
      <c r="S95" s="40" t="s">
        <v>55</v>
      </c>
      <c r="T95" s="40" t="s">
        <v>55</v>
      </c>
      <c r="V95" s="4"/>
    </row>
    <row r="96" spans="1:22" s="40" customFormat="1" ht="30" customHeight="1" x14ac:dyDescent="0.35">
      <c r="A96" s="85" t="s">
        <v>208</v>
      </c>
      <c r="B96" s="10" t="s">
        <v>92</v>
      </c>
      <c r="C96" s="10" t="s">
        <v>217</v>
      </c>
      <c r="D96" s="149" t="s">
        <v>218</v>
      </c>
      <c r="E96" s="40" t="s">
        <v>151</v>
      </c>
      <c r="F96" s="40" t="s">
        <v>219</v>
      </c>
      <c r="G96" s="40" t="s">
        <v>128</v>
      </c>
      <c r="H96" s="40" t="s">
        <v>177</v>
      </c>
      <c r="I96" s="40" t="s">
        <v>52</v>
      </c>
      <c r="J96" s="40" t="s">
        <v>53</v>
      </c>
      <c r="K96" s="40" t="s">
        <v>53</v>
      </c>
      <c r="L96" s="40" t="s">
        <v>69</v>
      </c>
      <c r="M96" s="40" t="s">
        <v>53</v>
      </c>
      <c r="N96" s="40" t="s">
        <v>53</v>
      </c>
      <c r="O96" s="40" t="s">
        <v>53</v>
      </c>
      <c r="P96" s="40" t="s">
        <v>55</v>
      </c>
      <c r="Q96" s="40" t="s">
        <v>55</v>
      </c>
      <c r="R96" s="40" t="s">
        <v>55</v>
      </c>
      <c r="S96" s="40" t="s">
        <v>55</v>
      </c>
      <c r="T96" s="40" t="s">
        <v>55</v>
      </c>
      <c r="V96" s="4"/>
    </row>
    <row r="97" spans="1:22" s="40" customFormat="1" ht="30" customHeight="1" x14ac:dyDescent="0.35">
      <c r="A97" s="85" t="s">
        <v>208</v>
      </c>
      <c r="B97" s="10" t="s">
        <v>92</v>
      </c>
      <c r="C97" s="10" t="s">
        <v>220</v>
      </c>
      <c r="D97" s="149" t="s">
        <v>221</v>
      </c>
      <c r="E97" s="40" t="s">
        <v>48</v>
      </c>
      <c r="F97" s="40" t="s">
        <v>61</v>
      </c>
      <c r="G97" s="40" t="s">
        <v>50</v>
      </c>
      <c r="H97" s="40" t="s">
        <v>160</v>
      </c>
      <c r="I97" s="40" t="s">
        <v>63</v>
      </c>
      <c r="J97" s="40" t="s">
        <v>63</v>
      </c>
      <c r="K97" s="40" t="s">
        <v>53</v>
      </c>
      <c r="L97" s="40" t="s">
        <v>54</v>
      </c>
      <c r="M97" s="40" t="s">
        <v>53</v>
      </c>
      <c r="N97" s="40" t="s">
        <v>53</v>
      </c>
      <c r="O97" s="40" t="s">
        <v>53</v>
      </c>
      <c r="P97" s="40" t="s">
        <v>55</v>
      </c>
      <c r="Q97" s="40" t="s">
        <v>56</v>
      </c>
      <c r="R97" s="40" t="s">
        <v>55</v>
      </c>
      <c r="S97" s="40" t="s">
        <v>55</v>
      </c>
      <c r="T97" s="40" t="s">
        <v>55</v>
      </c>
      <c r="V97" s="4"/>
    </row>
    <row r="98" spans="1:22" s="40" customFormat="1" ht="51.75" customHeight="1" x14ac:dyDescent="0.35">
      <c r="A98" s="85" t="s">
        <v>208</v>
      </c>
      <c r="B98" s="10" t="s">
        <v>92</v>
      </c>
      <c r="C98" s="10" t="s">
        <v>222</v>
      </c>
      <c r="D98" s="9" t="s">
        <v>223</v>
      </c>
      <c r="E98" s="40" t="s">
        <v>48</v>
      </c>
      <c r="F98" s="40" t="s">
        <v>49</v>
      </c>
      <c r="G98" s="40" t="s">
        <v>50</v>
      </c>
      <c r="H98" s="40" t="s">
        <v>160</v>
      </c>
      <c r="I98" s="40" t="s">
        <v>63</v>
      </c>
      <c r="J98" s="40" t="s">
        <v>53</v>
      </c>
      <c r="K98" s="40" t="s">
        <v>53</v>
      </c>
      <c r="L98" s="40" t="s">
        <v>54</v>
      </c>
      <c r="M98" s="40" t="s">
        <v>53</v>
      </c>
      <c r="N98" s="40" t="s">
        <v>53</v>
      </c>
      <c r="O98" s="40" t="s">
        <v>53</v>
      </c>
      <c r="P98" s="40" t="s">
        <v>55</v>
      </c>
      <c r="Q98" s="40" t="s">
        <v>56</v>
      </c>
      <c r="R98" s="40" t="s">
        <v>55</v>
      </c>
      <c r="S98" s="40" t="s">
        <v>55</v>
      </c>
      <c r="T98" s="40" t="s">
        <v>55</v>
      </c>
      <c r="U98" s="40" t="s">
        <v>224</v>
      </c>
      <c r="V98" s="4"/>
    </row>
    <row r="99" spans="1:22" s="40" customFormat="1" ht="33.75" customHeight="1" x14ac:dyDescent="0.35">
      <c r="A99" s="85" t="s">
        <v>208</v>
      </c>
      <c r="B99" s="10" t="s">
        <v>92</v>
      </c>
      <c r="C99" s="10" t="s">
        <v>225</v>
      </c>
      <c r="D99" s="9" t="s">
        <v>226</v>
      </c>
      <c r="E99" s="40" t="s">
        <v>151</v>
      </c>
      <c r="F99" s="40" t="s">
        <v>138</v>
      </c>
      <c r="G99" s="40" t="s">
        <v>50</v>
      </c>
      <c r="H99" s="40" t="s">
        <v>160</v>
      </c>
      <c r="I99" s="40" t="s">
        <v>63</v>
      </c>
      <c r="J99" s="40" t="s">
        <v>53</v>
      </c>
      <c r="K99" s="40" t="s">
        <v>53</v>
      </c>
      <c r="L99" s="40" t="s">
        <v>69</v>
      </c>
      <c r="M99" s="40" t="s">
        <v>53</v>
      </c>
      <c r="N99" s="40" t="s">
        <v>76</v>
      </c>
      <c r="O99" s="40" t="s">
        <v>53</v>
      </c>
      <c r="P99" s="40" t="s">
        <v>55</v>
      </c>
      <c r="Q99" s="40" t="s">
        <v>55</v>
      </c>
      <c r="R99" s="40" t="s">
        <v>55</v>
      </c>
      <c r="S99" s="40" t="s">
        <v>55</v>
      </c>
      <c r="T99" s="40" t="s">
        <v>55</v>
      </c>
      <c r="V99" s="4"/>
    </row>
    <row r="100" spans="1:22" s="40" customFormat="1" ht="54.75" customHeight="1" x14ac:dyDescent="0.35">
      <c r="A100" s="85" t="s">
        <v>208</v>
      </c>
      <c r="B100" s="10" t="s">
        <v>92</v>
      </c>
      <c r="C100" s="10" t="s">
        <v>227</v>
      </c>
      <c r="D100" s="9" t="s">
        <v>228</v>
      </c>
      <c r="E100" s="40" t="s">
        <v>48</v>
      </c>
      <c r="F100" s="40" t="s">
        <v>61</v>
      </c>
      <c r="G100" s="40" t="s">
        <v>50</v>
      </c>
      <c r="H100" s="40" t="s">
        <v>160</v>
      </c>
      <c r="I100" s="40" t="s">
        <v>63</v>
      </c>
      <c r="J100" s="40" t="s">
        <v>53</v>
      </c>
      <c r="K100" s="40" t="s">
        <v>53</v>
      </c>
      <c r="L100" s="40" t="s">
        <v>54</v>
      </c>
      <c r="M100" s="40" t="s">
        <v>76</v>
      </c>
      <c r="N100" s="40" t="s">
        <v>53</v>
      </c>
      <c r="O100" s="40" t="s">
        <v>53</v>
      </c>
      <c r="P100" s="40" t="s">
        <v>55</v>
      </c>
      <c r="Q100" s="40" t="s">
        <v>56</v>
      </c>
      <c r="R100" s="40" t="s">
        <v>55</v>
      </c>
      <c r="S100" s="40" t="s">
        <v>55</v>
      </c>
      <c r="T100" s="40" t="s">
        <v>55</v>
      </c>
      <c r="V100" s="4"/>
    </row>
    <row r="101" spans="1:22" s="40" customFormat="1" ht="30" customHeight="1" x14ac:dyDescent="0.35">
      <c r="A101" s="85" t="s">
        <v>208</v>
      </c>
      <c r="B101" s="10" t="s">
        <v>92</v>
      </c>
      <c r="C101" s="10" t="s">
        <v>229</v>
      </c>
      <c r="D101" s="9" t="s">
        <v>230</v>
      </c>
      <c r="E101" s="40" t="s">
        <v>48</v>
      </c>
      <c r="F101" s="40" t="s">
        <v>61</v>
      </c>
      <c r="G101" s="40" t="s">
        <v>50</v>
      </c>
      <c r="H101" s="40" t="s">
        <v>160</v>
      </c>
      <c r="I101" s="40" t="s">
        <v>63</v>
      </c>
      <c r="J101" s="40" t="s">
        <v>53</v>
      </c>
      <c r="K101" s="40" t="s">
        <v>53</v>
      </c>
      <c r="L101" s="40" t="s">
        <v>54</v>
      </c>
      <c r="M101" s="40" t="s">
        <v>76</v>
      </c>
      <c r="N101" s="40" t="s">
        <v>53</v>
      </c>
      <c r="O101" s="40" t="s">
        <v>53</v>
      </c>
      <c r="P101" s="40" t="s">
        <v>55</v>
      </c>
      <c r="Q101" s="40" t="s">
        <v>56</v>
      </c>
      <c r="R101" s="40" t="s">
        <v>55</v>
      </c>
      <c r="S101" s="40" t="s">
        <v>55</v>
      </c>
      <c r="T101" s="40" t="s">
        <v>55</v>
      </c>
      <c r="V101" s="4"/>
    </row>
    <row r="102" spans="1:22" s="40" customFormat="1" ht="30" customHeight="1" x14ac:dyDescent="0.35">
      <c r="A102" s="85" t="s">
        <v>208</v>
      </c>
      <c r="B102" s="10" t="s">
        <v>92</v>
      </c>
      <c r="C102" s="10" t="s">
        <v>231</v>
      </c>
      <c r="D102" s="149" t="s">
        <v>601</v>
      </c>
      <c r="E102" s="40" t="s">
        <v>151</v>
      </c>
      <c r="F102" s="40" t="s">
        <v>219</v>
      </c>
      <c r="G102" s="40" t="s">
        <v>50</v>
      </c>
      <c r="H102" s="40" t="s">
        <v>160</v>
      </c>
      <c r="I102" s="40" t="s">
        <v>52</v>
      </c>
      <c r="J102" s="40" t="s">
        <v>53</v>
      </c>
      <c r="K102" s="40" t="s">
        <v>53</v>
      </c>
      <c r="L102" s="40" t="s">
        <v>69</v>
      </c>
      <c r="M102" s="40" t="s">
        <v>75</v>
      </c>
      <c r="N102" s="40" t="s">
        <v>76</v>
      </c>
      <c r="O102" s="40" t="s">
        <v>53</v>
      </c>
      <c r="P102" s="40" t="s">
        <v>55</v>
      </c>
      <c r="Q102" s="40" t="s">
        <v>55</v>
      </c>
      <c r="R102" s="40" t="s">
        <v>55</v>
      </c>
      <c r="S102" s="40" t="s">
        <v>55</v>
      </c>
      <c r="T102" s="40" t="s">
        <v>55</v>
      </c>
      <c r="V102" s="4"/>
    </row>
    <row r="103" spans="1:22" s="40" customFormat="1" ht="43.5" x14ac:dyDescent="0.35">
      <c r="A103" s="85" t="s">
        <v>208</v>
      </c>
      <c r="B103" s="10" t="s">
        <v>92</v>
      </c>
      <c r="C103" s="10" t="s">
        <v>233</v>
      </c>
      <c r="D103" s="149" t="s">
        <v>234</v>
      </c>
      <c r="E103" s="40" t="s">
        <v>48</v>
      </c>
      <c r="F103" s="40" t="s">
        <v>61</v>
      </c>
      <c r="G103" s="40" t="s">
        <v>50</v>
      </c>
      <c r="H103" s="40" t="s">
        <v>160</v>
      </c>
      <c r="I103" s="40" t="s">
        <v>52</v>
      </c>
      <c r="J103" s="40" t="s">
        <v>52</v>
      </c>
      <c r="K103" s="40" t="s">
        <v>52</v>
      </c>
      <c r="M103" s="40" t="s">
        <v>76</v>
      </c>
      <c r="N103" s="40" t="s">
        <v>53</v>
      </c>
      <c r="O103" s="40" t="s">
        <v>53</v>
      </c>
      <c r="P103" s="40" t="s">
        <v>55</v>
      </c>
      <c r="Q103" s="40" t="s">
        <v>56</v>
      </c>
      <c r="R103" s="40" t="s">
        <v>55</v>
      </c>
      <c r="S103" s="40" t="s">
        <v>55</v>
      </c>
      <c r="T103" s="40" t="s">
        <v>55</v>
      </c>
      <c r="U103" s="40" t="s">
        <v>57</v>
      </c>
      <c r="V103" s="4" t="s">
        <v>235</v>
      </c>
    </row>
    <row r="104" spans="1:22" s="40" customFormat="1" ht="30" customHeight="1" x14ac:dyDescent="0.35">
      <c r="A104" s="85" t="s">
        <v>208</v>
      </c>
      <c r="B104" s="10" t="s">
        <v>92</v>
      </c>
      <c r="C104" s="10" t="s">
        <v>236</v>
      </c>
      <c r="D104" s="149" t="s">
        <v>237</v>
      </c>
      <c r="E104" s="40" t="s">
        <v>48</v>
      </c>
      <c r="F104" s="40" t="s">
        <v>61</v>
      </c>
      <c r="G104" s="40" t="s">
        <v>50</v>
      </c>
      <c r="H104" s="40" t="s">
        <v>160</v>
      </c>
      <c r="I104" s="40" t="s">
        <v>63</v>
      </c>
      <c r="J104" s="40" t="s">
        <v>53</v>
      </c>
      <c r="K104" s="40" t="s">
        <v>53</v>
      </c>
      <c r="L104" s="40" t="s">
        <v>54</v>
      </c>
      <c r="M104" s="40" t="s">
        <v>76</v>
      </c>
      <c r="N104" s="40" t="s">
        <v>53</v>
      </c>
      <c r="O104" s="40" t="s">
        <v>53</v>
      </c>
      <c r="P104" s="40" t="s">
        <v>55</v>
      </c>
      <c r="Q104" s="40" t="s">
        <v>56</v>
      </c>
      <c r="R104" s="40" t="s">
        <v>55</v>
      </c>
      <c r="S104" s="40" t="s">
        <v>55</v>
      </c>
      <c r="T104" s="40" t="s">
        <v>55</v>
      </c>
      <c r="V104" s="4" t="s">
        <v>238</v>
      </c>
    </row>
    <row r="105" spans="1:22" s="40" customFormat="1" ht="30" customHeight="1" x14ac:dyDescent="0.35">
      <c r="A105" s="85"/>
      <c r="B105" s="10" t="s">
        <v>92</v>
      </c>
      <c r="C105" s="10" t="s">
        <v>239</v>
      </c>
      <c r="D105" s="149" t="s">
        <v>602</v>
      </c>
      <c r="E105" s="40" t="s">
        <v>151</v>
      </c>
      <c r="F105" s="40" t="s">
        <v>219</v>
      </c>
      <c r="G105" s="40" t="s">
        <v>50</v>
      </c>
      <c r="H105" s="40" t="s">
        <v>160</v>
      </c>
      <c r="I105" s="40" t="s">
        <v>79</v>
      </c>
      <c r="J105" s="40" t="s">
        <v>53</v>
      </c>
      <c r="K105" s="40" t="s">
        <v>53</v>
      </c>
      <c r="L105" s="40" t="s">
        <v>69</v>
      </c>
      <c r="M105" s="40" t="s">
        <v>76</v>
      </c>
      <c r="N105" s="40" t="s">
        <v>76</v>
      </c>
      <c r="O105" s="40" t="s">
        <v>53</v>
      </c>
      <c r="P105" s="40" t="s">
        <v>55</v>
      </c>
      <c r="Q105" s="40" t="s">
        <v>55</v>
      </c>
      <c r="R105" s="40" t="s">
        <v>55</v>
      </c>
      <c r="S105" s="40" t="s">
        <v>55</v>
      </c>
      <c r="T105" s="40" t="s">
        <v>55</v>
      </c>
      <c r="V105" s="4"/>
    </row>
    <row r="106" spans="1:22" s="40" customFormat="1" ht="30" customHeight="1" x14ac:dyDescent="0.35">
      <c r="A106" s="85" t="s">
        <v>208</v>
      </c>
      <c r="B106" s="10" t="s">
        <v>92</v>
      </c>
      <c r="C106" s="10" t="s">
        <v>241</v>
      </c>
      <c r="D106" s="149" t="s">
        <v>242</v>
      </c>
      <c r="E106" s="40" t="s">
        <v>104</v>
      </c>
      <c r="F106" s="40" t="s">
        <v>61</v>
      </c>
      <c r="G106" s="40" t="s">
        <v>50</v>
      </c>
      <c r="H106" s="40" t="s">
        <v>107</v>
      </c>
      <c r="I106" s="40" t="s">
        <v>63</v>
      </c>
      <c r="J106" s="40" t="s">
        <v>63</v>
      </c>
      <c r="K106" s="40" t="s">
        <v>53</v>
      </c>
      <c r="L106" s="40" t="s">
        <v>54</v>
      </c>
      <c r="M106" s="40" t="s">
        <v>53</v>
      </c>
      <c r="N106" s="40" t="s">
        <v>53</v>
      </c>
      <c r="O106" s="40" t="s">
        <v>53</v>
      </c>
      <c r="P106" s="40" t="s">
        <v>55</v>
      </c>
      <c r="Q106" s="40" t="s">
        <v>56</v>
      </c>
      <c r="R106" s="40" t="s">
        <v>56</v>
      </c>
      <c r="S106" s="40" t="s">
        <v>55</v>
      </c>
      <c r="T106" s="40" t="s">
        <v>55</v>
      </c>
      <c r="V106" s="4"/>
    </row>
    <row r="107" spans="1:22" s="40" customFormat="1" ht="58" x14ac:dyDescent="0.35">
      <c r="A107" s="85" t="s">
        <v>208</v>
      </c>
      <c r="B107" s="10" t="s">
        <v>92</v>
      </c>
      <c r="C107" s="10" t="s">
        <v>243</v>
      </c>
      <c r="D107" s="9" t="s">
        <v>603</v>
      </c>
      <c r="E107" s="40" t="s">
        <v>104</v>
      </c>
      <c r="F107" s="40" t="s">
        <v>138</v>
      </c>
      <c r="G107" s="40" t="s">
        <v>62</v>
      </c>
      <c r="H107" s="40" t="s">
        <v>62</v>
      </c>
      <c r="I107" s="40" t="s">
        <v>52</v>
      </c>
      <c r="J107" s="40" t="s">
        <v>52</v>
      </c>
      <c r="K107" s="40" t="s">
        <v>63</v>
      </c>
      <c r="L107" s="40" t="s">
        <v>110</v>
      </c>
      <c r="M107" s="40" t="s">
        <v>76</v>
      </c>
      <c r="N107" s="40" t="s">
        <v>76</v>
      </c>
      <c r="O107" s="40" t="s">
        <v>53</v>
      </c>
      <c r="P107" s="40" t="s">
        <v>56</v>
      </c>
      <c r="Q107" s="40" t="s">
        <v>55</v>
      </c>
      <c r="R107" s="40" t="s">
        <v>55</v>
      </c>
      <c r="S107" s="40" t="s">
        <v>55</v>
      </c>
      <c r="T107" s="40" t="s">
        <v>56</v>
      </c>
      <c r="U107" s="40" t="s">
        <v>245</v>
      </c>
      <c r="V107" s="4" t="s">
        <v>246</v>
      </c>
    </row>
    <row r="108" spans="1:22" s="40" customFormat="1" ht="90.75" customHeight="1" x14ac:dyDescent="0.35">
      <c r="A108" s="85" t="s">
        <v>208</v>
      </c>
      <c r="B108" s="10" t="s">
        <v>92</v>
      </c>
      <c r="C108" s="10" t="s">
        <v>247</v>
      </c>
      <c r="D108" s="149" t="s">
        <v>248</v>
      </c>
      <c r="E108" s="40" t="s">
        <v>48</v>
      </c>
      <c r="F108" s="40" t="s">
        <v>49</v>
      </c>
      <c r="G108" s="40" t="s">
        <v>128</v>
      </c>
      <c r="H108" s="40" t="s">
        <v>51</v>
      </c>
      <c r="I108" s="40" t="s">
        <v>63</v>
      </c>
      <c r="J108" s="40" t="s">
        <v>53</v>
      </c>
      <c r="K108" s="40" t="s">
        <v>53</v>
      </c>
      <c r="L108" s="40" t="s">
        <v>54</v>
      </c>
      <c r="M108" s="40" t="s">
        <v>53</v>
      </c>
      <c r="N108" s="40" t="s">
        <v>53</v>
      </c>
      <c r="O108" s="40" t="s">
        <v>53</v>
      </c>
      <c r="P108" s="40" t="s">
        <v>55</v>
      </c>
      <c r="Q108" s="40" t="s">
        <v>56</v>
      </c>
      <c r="R108" s="40" t="s">
        <v>55</v>
      </c>
      <c r="S108" s="40" t="s">
        <v>55</v>
      </c>
      <c r="T108" s="40" t="s">
        <v>55</v>
      </c>
      <c r="V108" s="4" t="s">
        <v>249</v>
      </c>
    </row>
    <row r="109" spans="1:22" s="40" customFormat="1" ht="30" customHeight="1" x14ac:dyDescent="0.35">
      <c r="A109" s="85" t="s">
        <v>208</v>
      </c>
      <c r="B109" s="10" t="s">
        <v>92</v>
      </c>
      <c r="C109" s="10" t="s">
        <v>250</v>
      </c>
      <c r="D109" s="149" t="s">
        <v>251</v>
      </c>
      <c r="E109" s="40" t="s">
        <v>87</v>
      </c>
      <c r="F109" s="40" t="s">
        <v>49</v>
      </c>
      <c r="G109" s="40" t="s">
        <v>128</v>
      </c>
      <c r="H109" s="40" t="s">
        <v>51</v>
      </c>
      <c r="I109" s="40" t="s">
        <v>63</v>
      </c>
      <c r="J109" s="40" t="s">
        <v>63</v>
      </c>
      <c r="K109" s="40" t="s">
        <v>63</v>
      </c>
      <c r="M109" s="40" t="s">
        <v>76</v>
      </c>
      <c r="N109" s="40" t="s">
        <v>53</v>
      </c>
      <c r="O109" s="40" t="s">
        <v>53</v>
      </c>
      <c r="P109" s="40" t="s">
        <v>55</v>
      </c>
      <c r="Q109" s="40" t="s">
        <v>56</v>
      </c>
      <c r="R109" s="40" t="s">
        <v>55</v>
      </c>
      <c r="S109" s="40" t="s">
        <v>55</v>
      </c>
      <c r="T109" s="40" t="s">
        <v>55</v>
      </c>
      <c r="U109" s="4" t="s">
        <v>252</v>
      </c>
      <c r="V109" s="4" t="s">
        <v>253</v>
      </c>
    </row>
    <row r="110" spans="1:22" s="40" customFormat="1" ht="46.5" customHeight="1" x14ac:dyDescent="0.35">
      <c r="A110" s="85" t="s">
        <v>208</v>
      </c>
      <c r="B110" s="10" t="s">
        <v>92</v>
      </c>
      <c r="C110" s="10" t="s">
        <v>254</v>
      </c>
      <c r="D110" s="149" t="s">
        <v>255</v>
      </c>
      <c r="E110" s="40" t="s">
        <v>48</v>
      </c>
      <c r="F110" s="40" t="s">
        <v>61</v>
      </c>
      <c r="G110" s="40" t="s">
        <v>98</v>
      </c>
      <c r="H110" s="40" t="s">
        <v>51</v>
      </c>
      <c r="I110" s="40" t="s">
        <v>52</v>
      </c>
      <c r="J110" s="40" t="s">
        <v>53</v>
      </c>
      <c r="K110" s="40" t="s">
        <v>53</v>
      </c>
      <c r="M110" s="40" t="s">
        <v>76</v>
      </c>
      <c r="N110" s="40" t="s">
        <v>53</v>
      </c>
      <c r="O110" s="40" t="s">
        <v>53</v>
      </c>
      <c r="P110" s="40" t="s">
        <v>55</v>
      </c>
      <c r="Q110" s="40" t="s">
        <v>56</v>
      </c>
      <c r="R110" s="40" t="s">
        <v>55</v>
      </c>
      <c r="S110" s="40" t="s">
        <v>55</v>
      </c>
      <c r="T110" s="40" t="s">
        <v>55</v>
      </c>
      <c r="U110" s="4" t="s">
        <v>146</v>
      </c>
      <c r="V110" s="4" t="s">
        <v>256</v>
      </c>
    </row>
    <row r="111" spans="1:22" s="40" customFormat="1" ht="43.5" x14ac:dyDescent="0.35">
      <c r="A111" s="85" t="s">
        <v>208</v>
      </c>
      <c r="B111" s="10" t="s">
        <v>92</v>
      </c>
      <c r="C111" s="10" t="s">
        <v>257</v>
      </c>
      <c r="D111" s="149" t="s">
        <v>258</v>
      </c>
      <c r="E111" s="40" t="s">
        <v>87</v>
      </c>
      <c r="F111" s="40" t="s">
        <v>61</v>
      </c>
      <c r="G111" s="40" t="s">
        <v>98</v>
      </c>
      <c r="H111" s="40" t="s">
        <v>51</v>
      </c>
      <c r="I111" s="40" t="s">
        <v>52</v>
      </c>
      <c r="J111" s="40" t="s">
        <v>52</v>
      </c>
      <c r="K111" s="40" t="s">
        <v>52</v>
      </c>
      <c r="L111" s="40" t="s">
        <v>69</v>
      </c>
      <c r="M111" s="40" t="s">
        <v>76</v>
      </c>
      <c r="N111" s="40" t="s">
        <v>53</v>
      </c>
      <c r="O111" s="40" t="s">
        <v>53</v>
      </c>
      <c r="P111" s="40" t="s">
        <v>55</v>
      </c>
      <c r="Q111" s="40" t="s">
        <v>56</v>
      </c>
      <c r="R111" s="40" t="s">
        <v>55</v>
      </c>
      <c r="S111" s="40" t="s">
        <v>55</v>
      </c>
      <c r="T111" s="40" t="s">
        <v>55</v>
      </c>
      <c r="U111" s="4" t="s">
        <v>252</v>
      </c>
      <c r="V111" s="4"/>
    </row>
    <row r="112" spans="1:22" s="40" customFormat="1" ht="48.75" customHeight="1" x14ac:dyDescent="0.35">
      <c r="A112" s="85" t="s">
        <v>208</v>
      </c>
      <c r="B112" s="10" t="s">
        <v>92</v>
      </c>
      <c r="C112" s="10" t="s">
        <v>259</v>
      </c>
      <c r="D112" s="149" t="s">
        <v>604</v>
      </c>
      <c r="E112" s="40" t="s">
        <v>48</v>
      </c>
      <c r="F112" s="40" t="s">
        <v>61</v>
      </c>
      <c r="G112" s="40" t="s">
        <v>183</v>
      </c>
      <c r="H112" s="40" t="s">
        <v>51</v>
      </c>
      <c r="I112" s="40" t="s">
        <v>63</v>
      </c>
      <c r="J112" s="40" t="s">
        <v>63</v>
      </c>
      <c r="K112" s="40" t="s">
        <v>53</v>
      </c>
      <c r="M112" s="40" t="s">
        <v>76</v>
      </c>
      <c r="N112" s="40" t="s">
        <v>53</v>
      </c>
      <c r="O112" s="40" t="s">
        <v>53</v>
      </c>
      <c r="P112" s="40" t="s">
        <v>55</v>
      </c>
      <c r="Q112" s="40" t="s">
        <v>56</v>
      </c>
      <c r="R112" s="40" t="s">
        <v>55</v>
      </c>
      <c r="S112" s="40" t="s">
        <v>55</v>
      </c>
      <c r="T112" s="40" t="s">
        <v>55</v>
      </c>
      <c r="U112" s="40" t="s">
        <v>57</v>
      </c>
      <c r="V112" s="4" t="s">
        <v>264</v>
      </c>
    </row>
    <row r="113" spans="1:22" s="40" customFormat="1" ht="30" customHeight="1" x14ac:dyDescent="0.35">
      <c r="A113" s="85" t="s">
        <v>208</v>
      </c>
      <c r="B113" s="10" t="s">
        <v>92</v>
      </c>
      <c r="C113" s="10" t="s">
        <v>261</v>
      </c>
      <c r="D113" s="149" t="s">
        <v>262</v>
      </c>
      <c r="E113" s="40" t="s">
        <v>48</v>
      </c>
      <c r="F113" s="40" t="s">
        <v>61</v>
      </c>
      <c r="G113" s="40" t="s">
        <v>183</v>
      </c>
      <c r="H113" s="40" t="s">
        <v>99</v>
      </c>
      <c r="I113" s="40" t="s">
        <v>63</v>
      </c>
      <c r="J113" s="40" t="s">
        <v>63</v>
      </c>
      <c r="K113" s="40" t="s">
        <v>53</v>
      </c>
      <c r="M113" s="40" t="s">
        <v>76</v>
      </c>
      <c r="N113" s="40" t="s">
        <v>53</v>
      </c>
      <c r="O113" s="40" t="s">
        <v>53</v>
      </c>
      <c r="P113" s="40" t="s">
        <v>55</v>
      </c>
      <c r="Q113" s="40" t="s">
        <v>56</v>
      </c>
      <c r="R113" s="40" t="s">
        <v>55</v>
      </c>
      <c r="S113" s="40" t="s">
        <v>55</v>
      </c>
      <c r="T113" s="40" t="s">
        <v>55</v>
      </c>
      <c r="U113" s="40" t="s">
        <v>263</v>
      </c>
      <c r="V113" s="4" t="s">
        <v>264</v>
      </c>
    </row>
    <row r="114" spans="1:22" s="40" customFormat="1" ht="30" customHeight="1" x14ac:dyDescent="0.35">
      <c r="A114" s="85" t="s">
        <v>208</v>
      </c>
      <c r="B114" s="10" t="s">
        <v>92</v>
      </c>
      <c r="C114" s="10" t="s">
        <v>265</v>
      </c>
      <c r="D114" s="149" t="s">
        <v>266</v>
      </c>
      <c r="E114" s="40" t="s">
        <v>48</v>
      </c>
      <c r="F114" s="40" t="s">
        <v>61</v>
      </c>
      <c r="G114" s="40" t="s">
        <v>73</v>
      </c>
      <c r="H114" s="40" t="s">
        <v>51</v>
      </c>
      <c r="I114" s="40" t="s">
        <v>63</v>
      </c>
      <c r="J114" s="40" t="s">
        <v>63</v>
      </c>
      <c r="K114" s="40" t="s">
        <v>53</v>
      </c>
      <c r="M114" s="40" t="s">
        <v>76</v>
      </c>
      <c r="N114" s="40" t="s">
        <v>53</v>
      </c>
      <c r="O114" s="40" t="s">
        <v>53</v>
      </c>
      <c r="P114" s="40" t="s">
        <v>55</v>
      </c>
      <c r="Q114" s="40" t="s">
        <v>56</v>
      </c>
      <c r="R114" s="40" t="s">
        <v>55</v>
      </c>
      <c r="S114" s="40" t="s">
        <v>55</v>
      </c>
      <c r="T114" s="40" t="s">
        <v>55</v>
      </c>
      <c r="U114" s="40" t="s">
        <v>135</v>
      </c>
      <c r="V114" s="4" t="s">
        <v>264</v>
      </c>
    </row>
    <row r="115" spans="1:22" s="40" customFormat="1" ht="30" customHeight="1" x14ac:dyDescent="0.35">
      <c r="A115" s="85" t="s">
        <v>208</v>
      </c>
      <c r="B115" s="10" t="s">
        <v>92</v>
      </c>
      <c r="C115" s="10" t="s">
        <v>267</v>
      </c>
      <c r="D115" s="149" t="s">
        <v>268</v>
      </c>
      <c r="E115" s="40" t="s">
        <v>48</v>
      </c>
      <c r="F115" s="40" t="s">
        <v>61</v>
      </c>
      <c r="G115" s="40" t="s">
        <v>50</v>
      </c>
      <c r="H115" s="40" t="s">
        <v>99</v>
      </c>
      <c r="I115" s="40" t="s">
        <v>63</v>
      </c>
      <c r="J115" s="40" t="s">
        <v>63</v>
      </c>
      <c r="K115" s="40" t="s">
        <v>53</v>
      </c>
      <c r="M115" s="40" t="s">
        <v>76</v>
      </c>
      <c r="N115" s="40" t="s">
        <v>53</v>
      </c>
      <c r="O115" s="40" t="s">
        <v>53</v>
      </c>
      <c r="P115" s="40" t="s">
        <v>55</v>
      </c>
      <c r="Q115" s="40" t="s">
        <v>56</v>
      </c>
      <c r="R115" s="40" t="s">
        <v>55</v>
      </c>
      <c r="S115" s="40" t="s">
        <v>55</v>
      </c>
      <c r="T115" s="40" t="s">
        <v>55</v>
      </c>
      <c r="U115" s="40" t="s">
        <v>263</v>
      </c>
      <c r="V115" s="4" t="s">
        <v>264</v>
      </c>
    </row>
    <row r="116" spans="1:22" s="40" customFormat="1" ht="30" customHeight="1" x14ac:dyDescent="0.35">
      <c r="A116" s="85" t="s">
        <v>208</v>
      </c>
      <c r="B116" s="10" t="s">
        <v>92</v>
      </c>
      <c r="C116" s="10" t="s">
        <v>269</v>
      </c>
      <c r="D116" s="149" t="s">
        <v>270</v>
      </c>
      <c r="E116" s="40" t="s">
        <v>48</v>
      </c>
      <c r="F116" s="40" t="s">
        <v>138</v>
      </c>
      <c r="G116" s="40" t="s">
        <v>73</v>
      </c>
      <c r="H116" s="40" t="s">
        <v>99</v>
      </c>
      <c r="I116" s="40" t="s">
        <v>63</v>
      </c>
      <c r="J116" s="40" t="s">
        <v>53</v>
      </c>
      <c r="K116" s="40" t="s">
        <v>63</v>
      </c>
      <c r="L116" s="40" t="s">
        <v>54</v>
      </c>
      <c r="M116" s="40" t="s">
        <v>76</v>
      </c>
      <c r="N116" s="40" t="s">
        <v>53</v>
      </c>
      <c r="O116" s="40" t="s">
        <v>53</v>
      </c>
      <c r="P116" s="40" t="s">
        <v>55</v>
      </c>
      <c r="Q116" s="40" t="s">
        <v>56</v>
      </c>
      <c r="R116" s="40" t="s">
        <v>55</v>
      </c>
      <c r="S116" s="40" t="s">
        <v>55</v>
      </c>
      <c r="T116" s="40" t="s">
        <v>55</v>
      </c>
      <c r="U116" s="40" t="s">
        <v>146</v>
      </c>
      <c r="V116" s="4"/>
    </row>
    <row r="117" spans="1:22" s="40" customFormat="1" ht="30" customHeight="1" x14ac:dyDescent="0.35">
      <c r="A117" s="85" t="s">
        <v>208</v>
      </c>
      <c r="B117" s="10" t="s">
        <v>92</v>
      </c>
      <c r="C117" s="10" t="s">
        <v>271</v>
      </c>
      <c r="D117" s="149" t="s">
        <v>272</v>
      </c>
      <c r="E117" s="40" t="s">
        <v>48</v>
      </c>
      <c r="F117" s="40" t="s">
        <v>61</v>
      </c>
      <c r="G117" s="40" t="s">
        <v>73</v>
      </c>
      <c r="H117" s="40" t="s">
        <v>99</v>
      </c>
      <c r="I117" s="40" t="s">
        <v>63</v>
      </c>
      <c r="J117" s="40" t="s">
        <v>63</v>
      </c>
      <c r="K117" s="40" t="s">
        <v>53</v>
      </c>
      <c r="M117" s="40" t="s">
        <v>76</v>
      </c>
      <c r="N117" s="40" t="s">
        <v>53</v>
      </c>
      <c r="O117" s="40" t="s">
        <v>53</v>
      </c>
      <c r="P117" s="40" t="s">
        <v>55</v>
      </c>
      <c r="Q117" s="40" t="s">
        <v>56</v>
      </c>
      <c r="R117" s="40" t="s">
        <v>55</v>
      </c>
      <c r="S117" s="40" t="s">
        <v>55</v>
      </c>
      <c r="T117" s="40" t="s">
        <v>55</v>
      </c>
      <c r="U117" s="40" t="s">
        <v>135</v>
      </c>
      <c r="V117" s="4" t="s">
        <v>264</v>
      </c>
    </row>
    <row r="118" spans="1:22" s="40" customFormat="1" ht="30" customHeight="1" x14ac:dyDescent="0.35">
      <c r="A118" s="42"/>
      <c r="B118" s="10"/>
      <c r="C118" s="10"/>
      <c r="D118" s="4"/>
      <c r="V118" s="4"/>
    </row>
    <row r="119" spans="1:22" ht="26.25" customHeight="1" x14ac:dyDescent="0.4">
      <c r="B119" s="6" t="s">
        <v>57</v>
      </c>
      <c r="C119" s="5"/>
      <c r="D119" s="41"/>
      <c r="E119" s="5"/>
      <c r="F119" s="5"/>
      <c r="G119" s="5"/>
      <c r="H119" s="5"/>
      <c r="I119" s="5"/>
      <c r="J119" s="5"/>
      <c r="K119" s="5"/>
      <c r="L119" s="5"/>
      <c r="M119" s="5"/>
      <c r="N119" s="5"/>
      <c r="O119" s="5"/>
      <c r="P119" s="5"/>
      <c r="Q119" s="5"/>
      <c r="R119" s="5"/>
      <c r="S119" s="5"/>
      <c r="T119" s="5"/>
      <c r="U119" s="39"/>
      <c r="V119" s="41"/>
    </row>
    <row r="120" spans="1:22" ht="45" customHeight="1" x14ac:dyDescent="0.35">
      <c r="A120" s="87" t="s">
        <v>180</v>
      </c>
      <c r="B120" s="52" t="s">
        <v>57</v>
      </c>
      <c r="C120" s="10" t="s">
        <v>297</v>
      </c>
      <c r="D120" s="2" t="s">
        <v>298</v>
      </c>
      <c r="E120" s="4" t="s">
        <v>48</v>
      </c>
      <c r="F120" s="4" t="s">
        <v>49</v>
      </c>
      <c r="G120" s="4" t="s">
        <v>62</v>
      </c>
      <c r="H120" s="4" t="s">
        <v>177</v>
      </c>
      <c r="I120" s="4" t="s">
        <v>52</v>
      </c>
      <c r="J120" s="4" t="s">
        <v>53</v>
      </c>
      <c r="K120" s="4" t="s">
        <v>63</v>
      </c>
      <c r="L120" s="4" t="s">
        <v>69</v>
      </c>
      <c r="M120" s="4" t="s">
        <v>299</v>
      </c>
      <c r="N120" s="4" t="s">
        <v>53</v>
      </c>
      <c r="O120" s="4" t="s">
        <v>53</v>
      </c>
      <c r="P120" s="4" t="s">
        <v>55</v>
      </c>
      <c r="Q120" s="4" t="s">
        <v>56</v>
      </c>
      <c r="R120" s="4" t="s">
        <v>55</v>
      </c>
      <c r="S120" s="4" t="s">
        <v>55</v>
      </c>
      <c r="T120" s="4" t="s">
        <v>56</v>
      </c>
      <c r="U120" s="4"/>
      <c r="V120" s="2"/>
    </row>
    <row r="121" spans="1:22" s="40" customFormat="1" ht="30" customHeight="1" x14ac:dyDescent="0.25">
      <c r="A121" s="87" t="s">
        <v>180</v>
      </c>
      <c r="B121" s="52" t="s">
        <v>57</v>
      </c>
      <c r="C121" s="10" t="s">
        <v>301</v>
      </c>
      <c r="D121" s="4" t="s">
        <v>302</v>
      </c>
      <c r="E121" s="40" t="s">
        <v>87</v>
      </c>
      <c r="F121" s="40" t="s">
        <v>49</v>
      </c>
      <c r="G121" s="40" t="s">
        <v>50</v>
      </c>
      <c r="H121" s="40" t="s">
        <v>303</v>
      </c>
      <c r="I121" s="40" t="s">
        <v>52</v>
      </c>
      <c r="J121" s="40" t="s">
        <v>63</v>
      </c>
      <c r="K121" s="40" t="s">
        <v>79</v>
      </c>
      <c r="L121" s="40" t="s">
        <v>69</v>
      </c>
      <c r="M121" s="40" t="s">
        <v>53</v>
      </c>
      <c r="N121" s="40" t="s">
        <v>53</v>
      </c>
      <c r="O121" s="40" t="s">
        <v>53</v>
      </c>
      <c r="P121" s="40" t="s">
        <v>55</v>
      </c>
      <c r="Q121" s="40" t="s">
        <v>56</v>
      </c>
      <c r="R121" s="40" t="s">
        <v>55</v>
      </c>
      <c r="S121" s="40" t="s">
        <v>55</v>
      </c>
      <c r="T121" s="40" t="s">
        <v>56</v>
      </c>
      <c r="V121" s="4"/>
    </row>
    <row r="122" spans="1:22" s="40" customFormat="1" ht="28.5" customHeight="1" x14ac:dyDescent="0.25">
      <c r="A122" s="87" t="s">
        <v>180</v>
      </c>
      <c r="B122" s="52" t="s">
        <v>57</v>
      </c>
      <c r="C122" s="10" t="s">
        <v>304</v>
      </c>
      <c r="D122" s="4" t="s">
        <v>305</v>
      </c>
      <c r="E122" s="40" t="s">
        <v>87</v>
      </c>
      <c r="F122" s="40" t="s">
        <v>49</v>
      </c>
      <c r="G122" s="40" t="s">
        <v>62</v>
      </c>
      <c r="H122" s="40" t="s">
        <v>303</v>
      </c>
      <c r="I122" s="40" t="s">
        <v>52</v>
      </c>
      <c r="J122" s="40" t="s">
        <v>52</v>
      </c>
      <c r="K122" s="40" t="s">
        <v>79</v>
      </c>
      <c r="L122" s="40" t="s">
        <v>69</v>
      </c>
      <c r="M122" s="40" t="s">
        <v>53</v>
      </c>
      <c r="N122" s="40" t="s">
        <v>53</v>
      </c>
      <c r="O122" s="40" t="s">
        <v>53</v>
      </c>
      <c r="P122" s="40" t="s">
        <v>55</v>
      </c>
      <c r="Q122" s="40" t="s">
        <v>56</v>
      </c>
      <c r="R122" s="40" t="s">
        <v>55</v>
      </c>
      <c r="S122" s="40" t="s">
        <v>55</v>
      </c>
      <c r="T122" s="40" t="s">
        <v>56</v>
      </c>
      <c r="V122" s="4"/>
    </row>
    <row r="123" spans="1:22" s="40" customFormat="1" ht="29" x14ac:dyDescent="0.35">
      <c r="A123" s="88"/>
      <c r="B123" s="52" t="s">
        <v>57</v>
      </c>
      <c r="C123" s="10" t="s">
        <v>306</v>
      </c>
      <c r="D123" s="4" t="s">
        <v>307</v>
      </c>
      <c r="E123" s="40" t="s">
        <v>48</v>
      </c>
      <c r="F123" s="40" t="s">
        <v>49</v>
      </c>
      <c r="G123" s="40" t="s">
        <v>50</v>
      </c>
      <c r="H123" s="40" t="s">
        <v>62</v>
      </c>
      <c r="I123" s="40" t="s">
        <v>63</v>
      </c>
      <c r="J123" s="40" t="s">
        <v>52</v>
      </c>
      <c r="K123" s="40" t="s">
        <v>52</v>
      </c>
      <c r="L123" s="40" t="s">
        <v>54</v>
      </c>
      <c r="M123" s="40" t="s">
        <v>53</v>
      </c>
      <c r="N123" s="40" t="s">
        <v>53</v>
      </c>
      <c r="O123" s="40" t="s">
        <v>53</v>
      </c>
      <c r="P123" s="40" t="s">
        <v>55</v>
      </c>
      <c r="Q123" s="40" t="s">
        <v>55</v>
      </c>
      <c r="R123" s="40" t="s">
        <v>55</v>
      </c>
      <c r="S123" s="40" t="s">
        <v>55</v>
      </c>
      <c r="T123" s="40" t="s">
        <v>55</v>
      </c>
      <c r="V123" s="4"/>
    </row>
    <row r="124" spans="1:22" s="40" customFormat="1" ht="30" customHeight="1" x14ac:dyDescent="0.35">
      <c r="A124" s="88"/>
      <c r="B124" s="52" t="s">
        <v>57</v>
      </c>
      <c r="C124" s="10" t="s">
        <v>308</v>
      </c>
      <c r="D124" s="4" t="s">
        <v>309</v>
      </c>
      <c r="E124" s="40" t="s">
        <v>87</v>
      </c>
      <c r="F124" s="40" t="s">
        <v>219</v>
      </c>
      <c r="G124" s="40" t="s">
        <v>62</v>
      </c>
      <c r="H124" s="40" t="s">
        <v>62</v>
      </c>
      <c r="I124" s="40" t="s">
        <v>52</v>
      </c>
      <c r="J124" s="40" t="s">
        <v>79</v>
      </c>
      <c r="K124" s="40" t="s">
        <v>79</v>
      </c>
      <c r="L124" s="40" t="s">
        <v>110</v>
      </c>
      <c r="M124" s="40" t="s">
        <v>53</v>
      </c>
      <c r="N124" s="40" t="s">
        <v>53</v>
      </c>
      <c r="O124" s="40" t="s">
        <v>53</v>
      </c>
      <c r="P124" s="40" t="s">
        <v>56</v>
      </c>
      <c r="Q124" s="40" t="s">
        <v>56</v>
      </c>
      <c r="R124" s="40" t="s">
        <v>55</v>
      </c>
      <c r="S124" s="40" t="s">
        <v>55</v>
      </c>
      <c r="T124" s="40" t="s">
        <v>56</v>
      </c>
      <c r="U124" s="40" t="s">
        <v>317</v>
      </c>
      <c r="V124" s="4"/>
    </row>
    <row r="125" spans="1:22" ht="26.25" customHeight="1" x14ac:dyDescent="0.4">
      <c r="B125" s="6" t="s">
        <v>146</v>
      </c>
      <c r="C125" s="5"/>
      <c r="D125" s="41"/>
      <c r="E125" s="5"/>
      <c r="F125" s="5"/>
      <c r="G125" s="5"/>
      <c r="H125" s="5"/>
      <c r="I125" s="5"/>
      <c r="J125" s="5"/>
      <c r="K125" s="5"/>
      <c r="L125" s="5"/>
      <c r="M125" s="5"/>
      <c r="N125" s="5"/>
      <c r="O125" s="5"/>
      <c r="P125" s="5"/>
      <c r="Q125" s="5"/>
      <c r="R125" s="5"/>
      <c r="S125" s="5"/>
      <c r="T125" s="5"/>
      <c r="U125" s="39"/>
      <c r="V125" s="41"/>
    </row>
    <row r="126" spans="1:22" ht="29" x14ac:dyDescent="0.35">
      <c r="A126" s="89" t="s">
        <v>180</v>
      </c>
      <c r="B126" s="10" t="s">
        <v>146</v>
      </c>
      <c r="C126" s="10" t="s">
        <v>51</v>
      </c>
      <c r="D126" s="2" t="s">
        <v>316</v>
      </c>
      <c r="E126" s="4" t="s">
        <v>87</v>
      </c>
      <c r="F126" s="4" t="s">
        <v>61</v>
      </c>
      <c r="G126" s="4" t="s">
        <v>73</v>
      </c>
      <c r="H126" s="4" t="s">
        <v>74</v>
      </c>
      <c r="I126" s="4" t="s">
        <v>79</v>
      </c>
      <c r="J126" s="4" t="s">
        <v>52</v>
      </c>
      <c r="K126" s="4" t="s">
        <v>52</v>
      </c>
      <c r="L126" s="4" t="s">
        <v>69</v>
      </c>
      <c r="M126" s="4" t="s">
        <v>76</v>
      </c>
      <c r="N126" s="4" t="s">
        <v>76</v>
      </c>
      <c r="O126" s="4" t="s">
        <v>53</v>
      </c>
      <c r="P126" s="4"/>
      <c r="Q126" s="4" t="s">
        <v>56</v>
      </c>
      <c r="R126" s="4" t="s">
        <v>56</v>
      </c>
      <c r="S126" s="4" t="s">
        <v>56</v>
      </c>
      <c r="T126" s="4" t="s">
        <v>56</v>
      </c>
      <c r="U126" s="4"/>
      <c r="V126" s="2"/>
    </row>
    <row r="127" spans="1:22" s="40" customFormat="1" ht="45" customHeight="1" x14ac:dyDescent="0.25">
      <c r="A127" s="89" t="s">
        <v>180</v>
      </c>
      <c r="B127" s="10" t="s">
        <v>146</v>
      </c>
      <c r="C127" s="10" t="s">
        <v>129</v>
      </c>
      <c r="D127" s="4" t="s">
        <v>318</v>
      </c>
      <c r="E127" s="40" t="s">
        <v>104</v>
      </c>
      <c r="F127" s="40" t="s">
        <v>138</v>
      </c>
      <c r="G127" s="40" t="s">
        <v>73</v>
      </c>
      <c r="H127" s="40" t="s">
        <v>74</v>
      </c>
      <c r="I127" s="40" t="s">
        <v>52</v>
      </c>
      <c r="J127" s="40" t="s">
        <v>52</v>
      </c>
      <c r="K127" s="40" t="s">
        <v>63</v>
      </c>
      <c r="L127" s="40" t="s">
        <v>110</v>
      </c>
      <c r="M127" s="40" t="s">
        <v>76</v>
      </c>
      <c r="N127" s="40" t="s">
        <v>76</v>
      </c>
      <c r="O127" s="40" t="s">
        <v>53</v>
      </c>
      <c r="Q127" s="40" t="s">
        <v>56</v>
      </c>
      <c r="R127" s="40" t="s">
        <v>55</v>
      </c>
      <c r="S127" s="40" t="s">
        <v>55</v>
      </c>
      <c r="T127" s="40" t="s">
        <v>56</v>
      </c>
      <c r="V127" s="4"/>
    </row>
    <row r="128" spans="1:22" s="40" customFormat="1" ht="43.5" x14ac:dyDescent="0.35">
      <c r="A128" s="90"/>
      <c r="B128" s="10" t="s">
        <v>146</v>
      </c>
      <c r="C128" s="10" t="s">
        <v>115</v>
      </c>
      <c r="D128" s="4" t="s">
        <v>319</v>
      </c>
      <c r="E128" s="40" t="s">
        <v>613</v>
      </c>
      <c r="F128" s="40" t="s">
        <v>61</v>
      </c>
      <c r="G128" s="40" t="s">
        <v>73</v>
      </c>
      <c r="I128" s="40" t="s">
        <v>63</v>
      </c>
      <c r="J128" s="40" t="s">
        <v>63</v>
      </c>
      <c r="K128" s="40" t="s">
        <v>79</v>
      </c>
      <c r="L128" s="40" t="s">
        <v>54</v>
      </c>
      <c r="M128" s="40" t="s">
        <v>53</v>
      </c>
      <c r="N128" s="40" t="s">
        <v>53</v>
      </c>
      <c r="O128" s="40" t="s">
        <v>53</v>
      </c>
      <c r="P128" s="40" t="s">
        <v>55</v>
      </c>
      <c r="Q128" s="40" t="s">
        <v>55</v>
      </c>
      <c r="R128" s="40" t="s">
        <v>55</v>
      </c>
      <c r="S128" s="40" t="s">
        <v>56</v>
      </c>
      <c r="T128" s="40" t="s">
        <v>55</v>
      </c>
      <c r="U128" s="40" t="s">
        <v>317</v>
      </c>
      <c r="V128" s="4"/>
    </row>
    <row r="129" spans="1:22" s="40" customFormat="1" ht="87" x14ac:dyDescent="0.35">
      <c r="A129" s="90"/>
      <c r="B129" s="10" t="s">
        <v>146</v>
      </c>
      <c r="C129" s="10" t="s">
        <v>107</v>
      </c>
      <c r="D129" s="4" t="s">
        <v>320</v>
      </c>
      <c r="E129" s="40" t="s">
        <v>104</v>
      </c>
      <c r="F129" s="40" t="s">
        <v>49</v>
      </c>
      <c r="G129" s="40" t="s">
        <v>73</v>
      </c>
      <c r="I129" s="40" t="s">
        <v>52</v>
      </c>
      <c r="J129" s="40" t="s">
        <v>52</v>
      </c>
      <c r="K129" s="40" t="s">
        <v>63</v>
      </c>
      <c r="L129" s="40" t="s">
        <v>69</v>
      </c>
      <c r="M129" s="40" t="s">
        <v>76</v>
      </c>
      <c r="N129" s="40" t="s">
        <v>76</v>
      </c>
      <c r="O129" s="40" t="s">
        <v>53</v>
      </c>
      <c r="P129" s="40" t="s">
        <v>56</v>
      </c>
      <c r="Q129" s="40" t="s">
        <v>55</v>
      </c>
      <c r="R129" s="40" t="s">
        <v>55</v>
      </c>
      <c r="S129" s="40" t="s">
        <v>55</v>
      </c>
      <c r="T129" s="40" t="s">
        <v>56</v>
      </c>
      <c r="U129" s="40" t="s">
        <v>135</v>
      </c>
      <c r="V129" s="4"/>
    </row>
    <row r="130" spans="1:22" s="40" customFormat="1" ht="43.5" x14ac:dyDescent="0.35">
      <c r="A130" s="90" t="s">
        <v>610</v>
      </c>
      <c r="B130" s="10" t="s">
        <v>146</v>
      </c>
      <c r="C130" s="10" t="s">
        <v>321</v>
      </c>
      <c r="D130" s="4" t="s">
        <v>322</v>
      </c>
      <c r="E130" s="40" t="s">
        <v>48</v>
      </c>
      <c r="F130" s="40" t="s">
        <v>61</v>
      </c>
      <c r="G130" s="40" t="s">
        <v>73</v>
      </c>
      <c r="I130" s="40" t="s">
        <v>52</v>
      </c>
      <c r="J130" s="40" t="s">
        <v>63</v>
      </c>
      <c r="K130" s="40" t="s">
        <v>63</v>
      </c>
      <c r="L130" s="40" t="s">
        <v>54</v>
      </c>
      <c r="M130" s="40" t="s">
        <v>75</v>
      </c>
      <c r="N130" s="40" t="s">
        <v>76</v>
      </c>
      <c r="O130" s="40" t="s">
        <v>53</v>
      </c>
      <c r="P130" s="40" t="s">
        <v>56</v>
      </c>
      <c r="Q130" s="40" t="s">
        <v>56</v>
      </c>
      <c r="R130" s="40" t="s">
        <v>55</v>
      </c>
      <c r="S130" s="40" t="s">
        <v>55</v>
      </c>
      <c r="T130" s="40" t="s">
        <v>56</v>
      </c>
      <c r="U130" s="40" t="s">
        <v>323</v>
      </c>
      <c r="V130" s="4"/>
    </row>
    <row r="131" spans="1:22" s="40" customFormat="1" ht="116" x14ac:dyDescent="0.35">
      <c r="A131" s="90"/>
      <c r="B131" s="10" t="s">
        <v>146</v>
      </c>
      <c r="C131" s="10" t="s">
        <v>324</v>
      </c>
      <c r="D131" s="4" t="s">
        <v>325</v>
      </c>
      <c r="E131" s="40" t="s">
        <v>104</v>
      </c>
      <c r="F131" s="40" t="s">
        <v>49</v>
      </c>
      <c r="G131" s="40" t="s">
        <v>73</v>
      </c>
      <c r="I131" s="40" t="s">
        <v>63</v>
      </c>
      <c r="J131" s="40" t="s">
        <v>63</v>
      </c>
      <c r="K131" s="40" t="s">
        <v>53</v>
      </c>
      <c r="L131" s="40" t="s">
        <v>54</v>
      </c>
      <c r="M131" s="40" t="s">
        <v>76</v>
      </c>
      <c r="N131" s="40" t="s">
        <v>53</v>
      </c>
      <c r="O131" s="40" t="s">
        <v>53</v>
      </c>
      <c r="P131" s="40" t="s">
        <v>56</v>
      </c>
      <c r="Q131" s="40" t="s">
        <v>56</v>
      </c>
      <c r="R131" s="40" t="s">
        <v>55</v>
      </c>
      <c r="S131" s="40" t="s">
        <v>55</v>
      </c>
      <c r="T131" s="40" t="s">
        <v>55</v>
      </c>
      <c r="V131" s="4"/>
    </row>
    <row r="132" spans="1:22" ht="26.25" customHeight="1" x14ac:dyDescent="0.4">
      <c r="B132" s="6" t="s">
        <v>135</v>
      </c>
      <c r="C132" s="5"/>
      <c r="D132" s="41"/>
      <c r="E132" s="5"/>
      <c r="F132" s="5"/>
      <c r="G132" s="5"/>
      <c r="H132" s="5"/>
      <c r="I132" s="5"/>
      <c r="J132" s="5"/>
      <c r="K132" s="5"/>
      <c r="L132" s="5"/>
      <c r="M132" s="5"/>
      <c r="N132" s="5"/>
      <c r="O132" s="5"/>
      <c r="P132" s="5"/>
      <c r="Q132" s="5"/>
      <c r="R132" s="5"/>
      <c r="S132" s="5"/>
      <c r="T132" s="5"/>
      <c r="U132" s="39"/>
      <c r="V132" s="41"/>
    </row>
    <row r="133" spans="1:22" ht="44.25" customHeight="1" x14ac:dyDescent="0.35">
      <c r="A133" s="91" t="s">
        <v>180</v>
      </c>
      <c r="B133" s="10" t="s">
        <v>135</v>
      </c>
      <c r="C133" s="10" t="s">
        <v>136</v>
      </c>
      <c r="D133" s="2" t="s">
        <v>137</v>
      </c>
      <c r="E133" s="4" t="s">
        <v>48</v>
      </c>
      <c r="F133" s="4" t="s">
        <v>61</v>
      </c>
      <c r="G133" s="4" t="s">
        <v>73</v>
      </c>
      <c r="H133" s="4" t="s">
        <v>139</v>
      </c>
      <c r="I133" s="4" t="s">
        <v>63</v>
      </c>
      <c r="J133" s="4" t="s">
        <v>63</v>
      </c>
      <c r="K133" s="4" t="s">
        <v>53</v>
      </c>
      <c r="L133" s="4" t="s">
        <v>54</v>
      </c>
      <c r="M133" s="4" t="s">
        <v>76</v>
      </c>
      <c r="N133" s="4" t="s">
        <v>53</v>
      </c>
      <c r="O133" s="4" t="s">
        <v>53</v>
      </c>
      <c r="P133" s="4"/>
      <c r="Q133" s="4" t="s">
        <v>56</v>
      </c>
      <c r="R133" s="4" t="s">
        <v>55</v>
      </c>
      <c r="S133" s="4" t="s">
        <v>55</v>
      </c>
      <c r="T133" s="4" t="s">
        <v>55</v>
      </c>
      <c r="U133" s="4"/>
      <c r="V133" s="2"/>
    </row>
    <row r="134" spans="1:22" s="40" customFormat="1" ht="45" customHeight="1" x14ac:dyDescent="0.35">
      <c r="A134" s="92"/>
      <c r="B134" s="10" t="s">
        <v>135</v>
      </c>
      <c r="C134" s="10" t="s">
        <v>140</v>
      </c>
      <c r="D134" s="4" t="s">
        <v>141</v>
      </c>
      <c r="E134" s="40" t="s">
        <v>48</v>
      </c>
      <c r="F134" s="40" t="s">
        <v>61</v>
      </c>
      <c r="G134" s="40" t="s">
        <v>73</v>
      </c>
      <c r="I134" s="40" t="s">
        <v>63</v>
      </c>
      <c r="J134" s="40" t="s">
        <v>63</v>
      </c>
      <c r="K134" s="40" t="s">
        <v>53</v>
      </c>
      <c r="L134" s="40" t="s">
        <v>54</v>
      </c>
      <c r="M134" s="40" t="s">
        <v>76</v>
      </c>
      <c r="N134" s="40" t="s">
        <v>53</v>
      </c>
      <c r="O134" s="40" t="s">
        <v>53</v>
      </c>
      <c r="P134" s="40" t="s">
        <v>55</v>
      </c>
      <c r="Q134" s="40" t="s">
        <v>56</v>
      </c>
      <c r="R134" s="40" t="s">
        <v>56</v>
      </c>
      <c r="S134" s="40" t="s">
        <v>55</v>
      </c>
      <c r="T134" s="40" t="s">
        <v>55</v>
      </c>
      <c r="V134" s="4"/>
    </row>
    <row r="135" spans="1:22" s="40" customFormat="1" x14ac:dyDescent="0.35">
      <c r="A135" s="92"/>
      <c r="B135" s="10" t="s">
        <v>135</v>
      </c>
      <c r="C135" s="10" t="s">
        <v>142</v>
      </c>
      <c r="D135" s="4" t="s">
        <v>143</v>
      </c>
      <c r="E135" s="40" t="s">
        <v>613</v>
      </c>
      <c r="F135" s="40" t="s">
        <v>61</v>
      </c>
      <c r="G135" s="40" t="s">
        <v>73</v>
      </c>
      <c r="I135" s="40" t="s">
        <v>63</v>
      </c>
      <c r="J135" s="40" t="s">
        <v>63</v>
      </c>
      <c r="K135" s="40" t="s">
        <v>53</v>
      </c>
      <c r="L135" s="40" t="s">
        <v>54</v>
      </c>
      <c r="M135" s="40" t="s">
        <v>76</v>
      </c>
      <c r="N135" s="40" t="s">
        <v>53</v>
      </c>
      <c r="O135" s="40" t="s">
        <v>53</v>
      </c>
      <c r="P135" s="40" t="s">
        <v>55</v>
      </c>
      <c r="Q135" s="40" t="s">
        <v>56</v>
      </c>
      <c r="R135" s="40" t="s">
        <v>55</v>
      </c>
      <c r="S135" s="40" t="s">
        <v>55</v>
      </c>
      <c r="T135" s="40" t="s">
        <v>55</v>
      </c>
      <c r="V135" s="4"/>
    </row>
    <row r="136" spans="1:22" s="40" customFormat="1" ht="15" customHeight="1" x14ac:dyDescent="0.35">
      <c r="A136" s="92"/>
      <c r="B136" s="10" t="s">
        <v>135</v>
      </c>
      <c r="C136" s="10" t="s">
        <v>144</v>
      </c>
      <c r="D136" s="4" t="s">
        <v>145</v>
      </c>
      <c r="E136" s="40" t="s">
        <v>104</v>
      </c>
      <c r="F136" s="40" t="s">
        <v>49</v>
      </c>
      <c r="G136" s="40" t="s">
        <v>73</v>
      </c>
      <c r="I136" s="40" t="s">
        <v>52</v>
      </c>
      <c r="J136" s="40" t="s">
        <v>63</v>
      </c>
      <c r="K136" s="40" t="s">
        <v>53</v>
      </c>
      <c r="L136" s="40" t="s">
        <v>69</v>
      </c>
      <c r="M136" s="40" t="s">
        <v>76</v>
      </c>
      <c r="N136" s="40" t="s">
        <v>53</v>
      </c>
      <c r="O136" s="40" t="s">
        <v>53</v>
      </c>
      <c r="P136" s="40" t="s">
        <v>56</v>
      </c>
      <c r="Q136" s="40" t="s">
        <v>55</v>
      </c>
      <c r="R136" s="40" t="s">
        <v>55</v>
      </c>
      <c r="S136" s="40" t="s">
        <v>55</v>
      </c>
      <c r="T136" s="40" t="s">
        <v>56</v>
      </c>
      <c r="U136" s="40" t="s">
        <v>146</v>
      </c>
      <c r="V136" s="4"/>
    </row>
    <row r="137" spans="1:22" s="40" customFormat="1" ht="75" customHeight="1" x14ac:dyDescent="0.35">
      <c r="A137" s="92"/>
      <c r="B137" s="10" t="s">
        <v>135</v>
      </c>
      <c r="C137" s="10" t="s">
        <v>147</v>
      </c>
      <c r="D137" s="4" t="s">
        <v>148</v>
      </c>
      <c r="E137" s="40" t="s">
        <v>104</v>
      </c>
      <c r="F137" s="40" t="s">
        <v>49</v>
      </c>
      <c r="G137" s="40" t="s">
        <v>73</v>
      </c>
      <c r="I137" s="40" t="s">
        <v>52</v>
      </c>
      <c r="J137" s="40" t="s">
        <v>63</v>
      </c>
      <c r="K137" s="40" t="s">
        <v>53</v>
      </c>
      <c r="L137" s="40" t="s">
        <v>69</v>
      </c>
      <c r="M137" s="40" t="s">
        <v>76</v>
      </c>
      <c r="N137" s="40" t="s">
        <v>53</v>
      </c>
      <c r="O137" s="40" t="s">
        <v>53</v>
      </c>
      <c r="P137" s="40" t="s">
        <v>56</v>
      </c>
      <c r="Q137" s="40" t="s">
        <v>55</v>
      </c>
      <c r="R137" s="40" t="s">
        <v>55</v>
      </c>
      <c r="S137" s="40" t="s">
        <v>55</v>
      </c>
      <c r="T137" s="40" t="s">
        <v>56</v>
      </c>
      <c r="U137" s="40" t="s">
        <v>146</v>
      </c>
      <c r="V137" s="4"/>
    </row>
    <row r="138" spans="1:22" s="40" customFormat="1" ht="90" customHeight="1" x14ac:dyDescent="0.35">
      <c r="A138" s="92"/>
      <c r="B138" s="10" t="s">
        <v>135</v>
      </c>
      <c r="C138" s="10" t="s">
        <v>149</v>
      </c>
      <c r="D138" s="4" t="s">
        <v>150</v>
      </c>
      <c r="E138" s="40" t="s">
        <v>151</v>
      </c>
      <c r="F138" s="40" t="s">
        <v>61</v>
      </c>
      <c r="G138" s="40" t="s">
        <v>62</v>
      </c>
      <c r="H138" s="40" t="s">
        <v>139</v>
      </c>
      <c r="I138" s="40" t="s">
        <v>63</v>
      </c>
      <c r="J138" s="40" t="s">
        <v>53</v>
      </c>
      <c r="K138" s="40" t="s">
        <v>53</v>
      </c>
      <c r="L138" s="40" t="s">
        <v>54</v>
      </c>
      <c r="M138" s="40" t="s">
        <v>76</v>
      </c>
      <c r="N138" s="40" t="s">
        <v>53</v>
      </c>
      <c r="O138" s="40" t="s">
        <v>53</v>
      </c>
      <c r="P138" s="40" t="s">
        <v>55</v>
      </c>
      <c r="Q138" s="40" t="s">
        <v>56</v>
      </c>
      <c r="R138" s="40" t="s">
        <v>55</v>
      </c>
      <c r="S138" s="40" t="s">
        <v>55</v>
      </c>
      <c r="T138" s="40" t="s">
        <v>55</v>
      </c>
      <c r="V138" s="4"/>
    </row>
    <row r="139" spans="1:22" ht="18" customHeight="1" x14ac:dyDescent="0.4">
      <c r="B139" s="6" t="s">
        <v>398</v>
      </c>
      <c r="C139" s="5"/>
      <c r="D139" s="41"/>
      <c r="E139" s="5"/>
      <c r="F139" s="5"/>
      <c r="G139" s="5"/>
      <c r="H139" s="5"/>
      <c r="I139" s="5"/>
      <c r="J139" s="5"/>
      <c r="K139" s="5"/>
      <c r="L139" s="5"/>
      <c r="M139" s="5"/>
      <c r="N139" s="5"/>
      <c r="O139" s="5"/>
      <c r="P139" s="5"/>
      <c r="Q139" s="5"/>
      <c r="R139" s="5"/>
      <c r="S139" s="5"/>
      <c r="T139" s="5"/>
      <c r="U139" s="39"/>
      <c r="V139" s="41"/>
    </row>
    <row r="140" spans="1:22" ht="90" customHeight="1" x14ac:dyDescent="0.35">
      <c r="A140" s="93" t="s">
        <v>180</v>
      </c>
      <c r="B140" s="10" t="s">
        <v>398</v>
      </c>
      <c r="C140" s="10" t="s">
        <v>399</v>
      </c>
      <c r="D140" s="2" t="s">
        <v>400</v>
      </c>
      <c r="E140" s="4" t="s">
        <v>151</v>
      </c>
      <c r="F140" s="4" t="s">
        <v>49</v>
      </c>
      <c r="G140" s="4" t="s">
        <v>62</v>
      </c>
      <c r="H140" s="4" t="s">
        <v>62</v>
      </c>
      <c r="I140" s="4" t="s">
        <v>63</v>
      </c>
      <c r="J140" s="4" t="s">
        <v>63</v>
      </c>
      <c r="K140" s="4" t="s">
        <v>53</v>
      </c>
      <c r="L140" s="4" t="s">
        <v>54</v>
      </c>
      <c r="M140" s="4" t="s">
        <v>76</v>
      </c>
      <c r="N140" s="4" t="s">
        <v>76</v>
      </c>
      <c r="O140" s="4" t="s">
        <v>53</v>
      </c>
      <c r="P140" s="4" t="s">
        <v>55</v>
      </c>
      <c r="Q140" s="4" t="s">
        <v>56</v>
      </c>
      <c r="R140" s="4" t="s">
        <v>55</v>
      </c>
      <c r="S140" s="4" t="s">
        <v>55</v>
      </c>
      <c r="T140" s="4" t="s">
        <v>55</v>
      </c>
      <c r="U140" s="4"/>
      <c r="V140" s="2"/>
    </row>
    <row r="141" spans="1:22" s="40" customFormat="1" ht="90" customHeight="1" x14ac:dyDescent="0.35">
      <c r="A141" s="94"/>
      <c r="B141" s="10" t="s">
        <v>398</v>
      </c>
      <c r="C141" s="10" t="s">
        <v>401</v>
      </c>
      <c r="D141" s="4" t="s">
        <v>402</v>
      </c>
      <c r="E141" s="40" t="s">
        <v>104</v>
      </c>
      <c r="F141" s="40" t="s">
        <v>49</v>
      </c>
      <c r="G141" s="40" t="s">
        <v>62</v>
      </c>
      <c r="H141" s="40" t="s">
        <v>62</v>
      </c>
      <c r="I141" s="40" t="s">
        <v>63</v>
      </c>
      <c r="J141" s="40" t="s">
        <v>52</v>
      </c>
      <c r="K141" s="40" t="s">
        <v>53</v>
      </c>
      <c r="L141" s="40" t="s">
        <v>69</v>
      </c>
      <c r="M141" s="40" t="s">
        <v>75</v>
      </c>
      <c r="N141" s="40" t="s">
        <v>76</v>
      </c>
      <c r="O141" s="40" t="s">
        <v>53</v>
      </c>
      <c r="P141" s="40" t="s">
        <v>55</v>
      </c>
      <c r="Q141" s="40" t="s">
        <v>56</v>
      </c>
      <c r="R141" s="40" t="s">
        <v>55</v>
      </c>
      <c r="S141" s="40" t="s">
        <v>55</v>
      </c>
      <c r="T141" s="40" t="s">
        <v>55</v>
      </c>
      <c r="V141" s="4"/>
    </row>
    <row r="142" spans="1:22" s="40" customFormat="1" ht="105" customHeight="1" x14ac:dyDescent="0.35">
      <c r="A142" s="94"/>
      <c r="B142" s="10" t="s">
        <v>398</v>
      </c>
      <c r="C142" s="10" t="s">
        <v>403</v>
      </c>
      <c r="D142" s="4" t="s">
        <v>404</v>
      </c>
      <c r="E142" s="40" t="s">
        <v>104</v>
      </c>
      <c r="F142" s="40" t="s">
        <v>61</v>
      </c>
      <c r="G142" s="40" t="s">
        <v>62</v>
      </c>
      <c r="H142" s="40" t="s">
        <v>62</v>
      </c>
      <c r="I142" s="40" t="s">
        <v>63</v>
      </c>
      <c r="J142" s="40" t="s">
        <v>63</v>
      </c>
      <c r="K142" s="40" t="s">
        <v>53</v>
      </c>
      <c r="L142" s="40" t="s">
        <v>69</v>
      </c>
      <c r="M142" s="40" t="s">
        <v>75</v>
      </c>
      <c r="N142" s="40" t="s">
        <v>76</v>
      </c>
      <c r="O142" s="40" t="s">
        <v>63</v>
      </c>
      <c r="P142" s="40" t="s">
        <v>56</v>
      </c>
      <c r="Q142" s="40" t="s">
        <v>56</v>
      </c>
      <c r="R142" s="40" t="s">
        <v>55</v>
      </c>
      <c r="S142" s="40" t="s">
        <v>55</v>
      </c>
      <c r="T142" s="40" t="s">
        <v>55</v>
      </c>
      <c r="U142" s="40" t="s">
        <v>153</v>
      </c>
      <c r="V142" s="4"/>
    </row>
    <row r="143" spans="1:22" ht="18" customHeight="1" x14ac:dyDescent="0.4">
      <c r="B143" s="6" t="s">
        <v>290</v>
      </c>
      <c r="C143" s="5"/>
      <c r="D143" s="41"/>
      <c r="E143" s="5"/>
      <c r="F143" s="5"/>
      <c r="G143" s="5"/>
      <c r="H143" s="5"/>
      <c r="I143" s="5"/>
      <c r="J143" s="5"/>
      <c r="K143" s="5"/>
      <c r="L143" s="5"/>
      <c r="M143" s="5"/>
      <c r="N143" s="5"/>
      <c r="O143" s="5"/>
      <c r="P143" s="5"/>
      <c r="Q143" s="5"/>
      <c r="R143" s="5"/>
      <c r="S143" s="5"/>
      <c r="T143" s="5"/>
      <c r="U143" s="39"/>
      <c r="V143" s="41"/>
    </row>
    <row r="144" spans="1:22" ht="45" customHeight="1" x14ac:dyDescent="0.35">
      <c r="A144" s="95" t="s">
        <v>180</v>
      </c>
      <c r="B144" s="52" t="s">
        <v>290</v>
      </c>
      <c r="C144" s="10" t="s">
        <v>291</v>
      </c>
      <c r="D144" s="2" t="s">
        <v>292</v>
      </c>
      <c r="E144" s="4" t="s">
        <v>48</v>
      </c>
      <c r="F144" s="4" t="s">
        <v>49</v>
      </c>
      <c r="G144" s="4" t="s">
        <v>62</v>
      </c>
      <c r="H144" s="4" t="s">
        <v>62</v>
      </c>
      <c r="I144" s="4" t="s">
        <v>63</v>
      </c>
      <c r="J144" s="4" t="s">
        <v>52</v>
      </c>
      <c r="K144" s="4" t="s">
        <v>52</v>
      </c>
      <c r="L144" s="4" t="s">
        <v>54</v>
      </c>
      <c r="M144" s="4" t="s">
        <v>76</v>
      </c>
      <c r="N144" s="4" t="s">
        <v>53</v>
      </c>
      <c r="O144" s="4" t="s">
        <v>53</v>
      </c>
      <c r="P144" s="4" t="s">
        <v>55</v>
      </c>
      <c r="Q144" s="4" t="s">
        <v>56</v>
      </c>
      <c r="R144" s="4" t="s">
        <v>55</v>
      </c>
      <c r="S144" s="4" t="s">
        <v>55</v>
      </c>
      <c r="T144" s="4" t="s">
        <v>56</v>
      </c>
      <c r="U144" s="4"/>
      <c r="V144" s="2"/>
    </row>
    <row r="145" spans="1:22" s="40" customFormat="1" ht="105" customHeight="1" x14ac:dyDescent="0.35">
      <c r="A145" s="96"/>
      <c r="B145" s="52" t="s">
        <v>290</v>
      </c>
      <c r="C145" s="10" t="s">
        <v>293</v>
      </c>
      <c r="D145" s="4" t="s">
        <v>294</v>
      </c>
      <c r="E145" s="40" t="s">
        <v>104</v>
      </c>
      <c r="G145" s="40" t="s">
        <v>62</v>
      </c>
      <c r="H145" s="40" t="s">
        <v>62</v>
      </c>
      <c r="I145" s="40" t="s">
        <v>63</v>
      </c>
      <c r="J145" s="40" t="s">
        <v>52</v>
      </c>
      <c r="K145" s="40" t="s">
        <v>52</v>
      </c>
      <c r="L145" s="40" t="s">
        <v>54</v>
      </c>
      <c r="M145" s="40" t="s">
        <v>76</v>
      </c>
      <c r="N145" s="40" t="s">
        <v>53</v>
      </c>
      <c r="O145" s="40" t="s">
        <v>53</v>
      </c>
      <c r="P145" s="40" t="s">
        <v>55</v>
      </c>
      <c r="Q145" s="40" t="s">
        <v>56</v>
      </c>
      <c r="R145" s="40" t="s">
        <v>55</v>
      </c>
      <c r="S145" s="40" t="s">
        <v>55</v>
      </c>
      <c r="T145" s="40" t="s">
        <v>56</v>
      </c>
      <c r="V145" s="4" t="s">
        <v>295</v>
      </c>
    </row>
    <row r="146" spans="1:22" x14ac:dyDescent="0.35">
      <c r="C146" s="1"/>
      <c r="U146" s="40"/>
    </row>
  </sheetData>
  <autoFilter ref="A9:X9" xr:uid="{E8E0C8FB-4043-49C9-893A-E75C7E1530CD}"/>
  <dataValidations count="1">
    <dataValidation allowBlank="1" showInputMessage="1" sqref="T10:V10 D10:N10 P10:R10" xr:uid="{6569237A-4CDA-441A-883C-C30923F775ED}"/>
  </dataValidations>
  <pageMargins left="0.7" right="0.7" top="0.75" bottom="0.75" header="0.3" footer="0.3"/>
  <pageSetup scale="35" fitToHeight="0" orientation="landscape" r:id="rId1"/>
  <rowBreaks count="1" manualBreakCount="1">
    <brk id="58" max="16383" man="1"/>
  </rowBreaks>
  <drawing r:id="rId2"/>
  <extLst>
    <ext xmlns:x14="http://schemas.microsoft.com/office/spreadsheetml/2009/9/main" uri="{CCE6A557-97BC-4b89-ADB6-D9C93CAAB3DF}">
      <x14:dataValidations xmlns:xm="http://schemas.microsoft.com/office/excel/2006/main" count="18">
        <x14:dataValidation type="list" allowBlank="1" showInputMessage="1" showErrorMessage="1" xr:uid="{5F07F8EA-6DFF-414A-9A43-2C473C8DE132}">
          <x14:formula1>
            <xm:f>'DATA VALIDATION LIST'!$A$4:$A$8</xm:f>
          </x14:formula1>
          <xm:sqref>E144:E145 E140:E142 E133:E138 E126:E131 E120:E124 E80:E117 E64:E78 E56:E62 E48:E54 E45:E46 E41:E43 E29:E39 E23:E27 E20:E21 E11:E18</xm:sqref>
        </x14:dataValidation>
        <x14:dataValidation type="list" allowBlank="1" showInputMessage="1" showErrorMessage="1" xr:uid="{2C99FF7C-C758-4DAC-87CE-CDA1EC0EFC00}">
          <x14:formula1>
            <xm:f>'DATA VALIDATION LIST'!$K$4:$K$7</xm:f>
          </x14:formula1>
          <xm:sqref>O92:O151 O10:O90</xm:sqref>
        </x14:dataValidation>
        <x14:dataValidation type="list" allowBlank="1" showInputMessage="1" showErrorMessage="1" xr:uid="{587E5849-DA7A-4B72-95E5-DB7E357F8B07}">
          <x14:formula1>
            <xm:f>'DATA VALIDATION LIST'!$L$4:$L$5</xm:f>
          </x14:formula1>
          <xm:sqref>P92:P145 P11:P90</xm:sqref>
        </x14:dataValidation>
        <x14:dataValidation type="list" allowBlank="1" showInputMessage="1" xr:uid="{BB7A8AC4-A54D-49C5-B3D1-CA1F7938344F}">
          <x14:formula1>
            <xm:f>'DATA VALIDATION LIST'!$Q$4:$Q$17</xm:f>
          </x14:formula1>
          <xm:sqref>U92:U145 U11:U90</xm:sqref>
        </x14:dataValidation>
        <x14:dataValidation type="list" allowBlank="1" showInputMessage="1" showErrorMessage="1" xr:uid="{0F27A451-7AF9-4FE5-A301-6F44C66FA924}">
          <x14:formula1>
            <xm:f>'DATA VALIDATION LIST'!$P$4:$P$5</xm:f>
          </x14:formula1>
          <xm:sqref>T92:T145 T11:T90</xm:sqref>
        </x14:dataValidation>
        <x14:dataValidation type="list" allowBlank="1" showInputMessage="1" showErrorMessage="1" xr:uid="{BF4EF08B-A128-477C-968C-40EF3E793FA4}">
          <x14:formula1>
            <xm:f>'DATA VALIDATION LIST'!$O$4:$O$5</xm:f>
          </x14:formula1>
          <xm:sqref>S92:S145 S10:S90</xm:sqref>
        </x14:dataValidation>
        <x14:dataValidation type="list" allowBlank="1" showInputMessage="1" showErrorMessage="1" xr:uid="{BC4974F9-AB53-4723-834D-427A9DF14AB5}">
          <x14:formula1>
            <xm:f>'DATA VALIDATION LIST'!$N$4:$N$5</xm:f>
          </x14:formula1>
          <xm:sqref>R92:R145 R11:R90</xm:sqref>
        </x14:dataValidation>
        <x14:dataValidation type="list" allowBlank="1" showInputMessage="1" showErrorMessage="1" xr:uid="{3E9923D7-9809-4407-83A3-2E84378CD6DB}">
          <x14:formula1>
            <xm:f>'DATA VALIDATION LIST'!$M$4:$M$5</xm:f>
          </x14:formula1>
          <xm:sqref>Q92:Q145 Q11:Q90</xm:sqref>
        </x14:dataValidation>
        <x14:dataValidation type="list" allowBlank="1" showInputMessage="1" showErrorMessage="1" xr:uid="{0832FFFA-103D-4A6C-9A42-B4A4DE5C5B47}">
          <x14:formula1>
            <xm:f>'DATA VALIDATION LIST'!$I$4:$I$8</xm:f>
          </x14:formula1>
          <xm:sqref>M92:M145 M11:M90</xm:sqref>
        </x14:dataValidation>
        <x14:dataValidation type="list" allowBlank="1" showInputMessage="1" showErrorMessage="1" xr:uid="{602C388B-E041-49FB-9F38-F56B3C019517}">
          <x14:formula1>
            <xm:f>'DATA VALIDATION LIST'!$J$4:$J$7</xm:f>
          </x14:formula1>
          <xm:sqref>N92:N145 N11:N90</xm:sqref>
        </x14:dataValidation>
        <x14:dataValidation type="list" allowBlank="1" showInputMessage="1" showErrorMessage="1" xr:uid="{F5141C62-A91C-4FD1-9996-64A9BE1A1ECB}">
          <x14:formula1>
            <xm:f>'DATA VALIDATION LIST'!$H$4:$H$7</xm:f>
          </x14:formula1>
          <xm:sqref>L92:L145 L11:L90</xm:sqref>
        </x14:dataValidation>
        <x14:dataValidation type="list" allowBlank="1" showInputMessage="1" showErrorMessage="1" xr:uid="{41CBAEC2-2492-465F-BBB1-500C68489877}">
          <x14:formula1>
            <xm:f>'DATA VALIDATION LIST'!$G$4:$G$7</xm:f>
          </x14:formula1>
          <xm:sqref>K92:K145 K11:K90</xm:sqref>
        </x14:dataValidation>
        <x14:dataValidation type="list" allowBlank="1" showInputMessage="1" showErrorMessage="1" xr:uid="{6D452D36-CB85-4DBB-AF11-DB9862170944}">
          <x14:formula1>
            <xm:f>'DATA VALIDATION LIST'!$F$4:$F$7</xm:f>
          </x14:formula1>
          <xm:sqref>J92:J145 J11:J90</xm:sqref>
        </x14:dataValidation>
        <x14:dataValidation type="list" allowBlank="1" showInputMessage="1" showErrorMessage="1" xr:uid="{5A878AC9-5320-4CFA-8076-0108FE02FAFC}">
          <x14:formula1>
            <xm:f>'DATA VALIDATION LIST'!$E$4:$E$7</xm:f>
          </x14:formula1>
          <xm:sqref>I92:I145 I11:I90</xm:sqref>
        </x14:dataValidation>
        <x14:dataValidation type="list" allowBlank="1" showInputMessage="1" showErrorMessage="1" xr:uid="{4B7E20AE-B930-4081-A17B-F162AE637DAD}">
          <x14:formula1>
            <xm:f>'DATA VALIDATION LIST'!$D$4:$D$16</xm:f>
          </x14:formula1>
          <xm:sqref>H92:H145 H11:H90</xm:sqref>
        </x14:dataValidation>
        <x14:dataValidation type="list" allowBlank="1" showInputMessage="1" showErrorMessage="1" xr:uid="{A944F54E-CB07-4072-8615-34451A2B4A68}">
          <x14:formula1>
            <xm:f>'DATA VALIDATION LIST'!$C$4:$C$10</xm:f>
          </x14:formula1>
          <xm:sqref>G92:G145 G11:G90</xm:sqref>
        </x14:dataValidation>
        <x14:dataValidation type="list" allowBlank="1" showInputMessage="1" showErrorMessage="1" promptTitle="DROPDOWN" prompt="SELECT ONE" xr:uid="{E4159F0A-7A7B-45FD-B904-D7E2620EE9F3}">
          <x14:formula1>
            <xm:f>'DATA VALIDATION LIST'!$B$4:$B$9</xm:f>
          </x14:formula1>
          <xm:sqref>F92:F145 F11:F90</xm:sqref>
        </x14:dataValidation>
        <x14:dataValidation type="list" allowBlank="1" showInputMessage="1" showErrorMessage="1" xr:uid="{9EE986AF-46D6-4A74-997F-B7F7AAFA3702}">
          <x14:formula1>
            <xm:f>'DATA VALIDATION LIST'!$A$4:$A$7</xm:f>
          </x14:formula1>
          <xm:sqref>E118:E119 E143 E139 E132 E125 E79 E63 E55 E47 E44 E40 E28 E22 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FAB09-E57E-4E5A-965A-F8982AB48129}">
  <sheetPr codeName="Sheet4" filterMode="1">
    <pageSetUpPr fitToPage="1"/>
  </sheetPr>
  <dimension ref="A1:U61"/>
  <sheetViews>
    <sheetView zoomScale="110" zoomScaleNormal="110" workbookViewId="0">
      <pane ySplit="1" topLeftCell="A2" activePane="bottomLeft" state="frozen"/>
      <selection pane="bottomLeft" activeCell="E1" sqref="E1"/>
    </sheetView>
  </sheetViews>
  <sheetFormatPr defaultRowHeight="14.5" x14ac:dyDescent="0.35"/>
  <cols>
    <col min="1" max="1" width="16.453125" customWidth="1"/>
    <col min="2" max="2" width="7" customWidth="1"/>
    <col min="3" max="3" width="37" style="2" customWidth="1"/>
    <col min="4" max="4" width="28.26953125" customWidth="1"/>
    <col min="5" max="5" width="20" customWidth="1"/>
    <col min="6" max="6" width="28.453125" customWidth="1"/>
    <col min="7" max="7" width="24.81640625" customWidth="1"/>
    <col min="8" max="8" width="22.7265625" customWidth="1"/>
    <col min="9" max="10" width="23.81640625" customWidth="1"/>
    <col min="11" max="15" width="26" customWidth="1"/>
    <col min="16" max="16" width="20.7265625" customWidth="1"/>
    <col min="17" max="18" width="26" customWidth="1"/>
    <col min="19" max="19" width="20.7265625" customWidth="1"/>
    <col min="20" max="20" width="40.7265625" customWidth="1"/>
    <col min="21" max="21" width="58.7265625" customWidth="1"/>
  </cols>
  <sheetData>
    <row r="1" spans="1:21" ht="45.75" customHeight="1" thickBot="1" x14ac:dyDescent="0.4">
      <c r="A1" s="13" t="s">
        <v>23</v>
      </c>
      <c r="B1" s="14" t="s">
        <v>24</v>
      </c>
      <c r="C1" s="14" t="s">
        <v>25</v>
      </c>
      <c r="D1" s="14" t="s">
        <v>26</v>
      </c>
      <c r="E1" s="14" t="s">
        <v>27</v>
      </c>
      <c r="F1" s="14" t="s">
        <v>28</v>
      </c>
      <c r="G1" s="14" t="s">
        <v>29</v>
      </c>
      <c r="H1" s="14" t="s">
        <v>30</v>
      </c>
      <c r="I1" s="14" t="s">
        <v>31</v>
      </c>
      <c r="J1" s="14" t="s">
        <v>32</v>
      </c>
      <c r="K1" s="14" t="s">
        <v>33</v>
      </c>
      <c r="L1" s="14" t="s">
        <v>34</v>
      </c>
      <c r="M1" s="14" t="s">
        <v>35</v>
      </c>
      <c r="N1" s="14" t="s">
        <v>36</v>
      </c>
      <c r="O1" s="14" t="s">
        <v>37</v>
      </c>
      <c r="P1" s="14" t="s">
        <v>38</v>
      </c>
      <c r="Q1" s="14" t="s">
        <v>616</v>
      </c>
      <c r="R1" s="14" t="s">
        <v>40</v>
      </c>
      <c r="S1" s="14" t="s">
        <v>41</v>
      </c>
      <c r="T1" s="14" t="s">
        <v>42</v>
      </c>
      <c r="U1" s="15" t="s">
        <v>43</v>
      </c>
    </row>
    <row r="2" spans="1:21" ht="43.5" x14ac:dyDescent="0.35">
      <c r="A2" s="10" t="s">
        <v>83</v>
      </c>
      <c r="B2" s="10" t="s">
        <v>326</v>
      </c>
      <c r="C2" s="2" t="s">
        <v>327</v>
      </c>
      <c r="D2" s="4" t="s">
        <v>48</v>
      </c>
      <c r="E2" s="4" t="s">
        <v>61</v>
      </c>
      <c r="F2" s="4" t="s">
        <v>62</v>
      </c>
      <c r="G2" s="4" t="s">
        <v>62</v>
      </c>
      <c r="H2" s="4" t="s">
        <v>63</v>
      </c>
      <c r="I2" s="4" t="s">
        <v>52</v>
      </c>
      <c r="J2" s="4" t="s">
        <v>53</v>
      </c>
      <c r="K2" s="4" t="s">
        <v>54</v>
      </c>
      <c r="L2" s="4" t="s">
        <v>75</v>
      </c>
      <c r="M2" s="4" t="s">
        <v>75</v>
      </c>
      <c r="N2" s="4" t="s">
        <v>56</v>
      </c>
      <c r="O2" s="4" t="s">
        <v>56</v>
      </c>
      <c r="P2" s="4" t="s">
        <v>56</v>
      </c>
      <c r="Q2" s="4" t="s">
        <v>56</v>
      </c>
      <c r="R2" s="4" t="s">
        <v>55</v>
      </c>
      <c r="S2" s="4" t="s">
        <v>55</v>
      </c>
      <c r="T2" s="2" t="s">
        <v>328</v>
      </c>
      <c r="U2" s="4" t="s">
        <v>617</v>
      </c>
    </row>
    <row r="3" spans="1:21" ht="72.5" x14ac:dyDescent="0.35">
      <c r="A3" s="10" t="s">
        <v>83</v>
      </c>
      <c r="B3" s="10" t="s">
        <v>330</v>
      </c>
      <c r="C3" s="2" t="s">
        <v>331</v>
      </c>
      <c r="D3" s="4" t="s">
        <v>104</v>
      </c>
      <c r="E3" s="4" t="s">
        <v>61</v>
      </c>
      <c r="F3" s="4" t="s">
        <v>62</v>
      </c>
      <c r="G3" s="4" t="s">
        <v>62</v>
      </c>
      <c r="H3" s="4" t="s">
        <v>52</v>
      </c>
      <c r="I3" s="4" t="s">
        <v>53</v>
      </c>
      <c r="J3" s="4" t="s">
        <v>53</v>
      </c>
      <c r="K3" s="4" t="s">
        <v>69</v>
      </c>
      <c r="L3" s="4" t="s">
        <v>75</v>
      </c>
      <c r="M3" s="4" t="s">
        <v>75</v>
      </c>
      <c r="N3" s="4" t="s">
        <v>56</v>
      </c>
      <c r="O3" s="4" t="s">
        <v>56</v>
      </c>
      <c r="P3" s="4" t="s">
        <v>56</v>
      </c>
      <c r="Q3" s="4" t="s">
        <v>55</v>
      </c>
      <c r="R3" s="4" t="s">
        <v>55</v>
      </c>
      <c r="S3" s="4" t="s">
        <v>55</v>
      </c>
      <c r="T3" s="4" t="s">
        <v>328</v>
      </c>
      <c r="U3" s="4" t="s">
        <v>332</v>
      </c>
    </row>
    <row r="4" spans="1:21" ht="58" x14ac:dyDescent="0.35">
      <c r="A4" s="10" t="s">
        <v>83</v>
      </c>
      <c r="B4" s="10" t="s">
        <v>333</v>
      </c>
      <c r="C4" s="2" t="s">
        <v>334</v>
      </c>
      <c r="D4" s="4" t="s">
        <v>48</v>
      </c>
      <c r="E4" s="4" t="s">
        <v>61</v>
      </c>
      <c r="F4" s="4" t="s">
        <v>62</v>
      </c>
      <c r="G4" s="4" t="s">
        <v>62</v>
      </c>
      <c r="H4" s="4" t="s">
        <v>79</v>
      </c>
      <c r="I4" s="4" t="s">
        <v>79</v>
      </c>
      <c r="J4" s="4" t="s">
        <v>53</v>
      </c>
      <c r="K4" s="4" t="s">
        <v>69</v>
      </c>
      <c r="L4" s="4" t="s">
        <v>75</v>
      </c>
      <c r="M4" s="4" t="s">
        <v>75</v>
      </c>
      <c r="N4" s="4" t="s">
        <v>56</v>
      </c>
      <c r="O4" s="4" t="s">
        <v>56</v>
      </c>
      <c r="P4" s="4" t="s">
        <v>56</v>
      </c>
      <c r="Q4" s="4" t="s">
        <v>55</v>
      </c>
      <c r="R4" s="4" t="s">
        <v>55</v>
      </c>
      <c r="S4" s="4" t="s">
        <v>55</v>
      </c>
      <c r="T4" s="4" t="s">
        <v>335</v>
      </c>
      <c r="U4" s="4" t="s">
        <v>336</v>
      </c>
    </row>
    <row r="5" spans="1:21" ht="29" x14ac:dyDescent="0.35">
      <c r="A5" s="10" t="s">
        <v>83</v>
      </c>
      <c r="B5" s="10" t="s">
        <v>337</v>
      </c>
      <c r="C5" s="2" t="s">
        <v>338</v>
      </c>
      <c r="D5" s="4" t="s">
        <v>151</v>
      </c>
      <c r="E5" s="4" t="s">
        <v>61</v>
      </c>
      <c r="F5" s="4" t="s">
        <v>62</v>
      </c>
      <c r="G5" s="4" t="s">
        <v>62</v>
      </c>
      <c r="H5" s="4" t="s">
        <v>63</v>
      </c>
      <c r="I5" s="4" t="s">
        <v>63</v>
      </c>
      <c r="J5" s="4" t="s">
        <v>53</v>
      </c>
      <c r="K5" s="4" t="s">
        <v>69</v>
      </c>
      <c r="L5" s="4" t="s">
        <v>53</v>
      </c>
      <c r="M5" s="4" t="s">
        <v>53</v>
      </c>
      <c r="N5" s="4" t="s">
        <v>56</v>
      </c>
      <c r="O5" s="4" t="s">
        <v>55</v>
      </c>
      <c r="P5" s="4" t="s">
        <v>55</v>
      </c>
      <c r="Q5" s="4" t="s">
        <v>55</v>
      </c>
      <c r="R5" s="4" t="s">
        <v>55</v>
      </c>
      <c r="S5" s="4" t="s">
        <v>55</v>
      </c>
      <c r="T5" s="4" t="s">
        <v>335</v>
      </c>
      <c r="U5" s="4" t="s">
        <v>339</v>
      </c>
    </row>
    <row r="6" spans="1:21" ht="29" x14ac:dyDescent="0.35">
      <c r="A6" s="10" t="s">
        <v>83</v>
      </c>
      <c r="B6" s="10" t="s">
        <v>346</v>
      </c>
      <c r="C6" s="2" t="s">
        <v>347</v>
      </c>
      <c r="D6" s="4" t="s">
        <v>151</v>
      </c>
      <c r="E6" s="4" t="s">
        <v>61</v>
      </c>
      <c r="F6" s="4" t="s">
        <v>50</v>
      </c>
      <c r="G6" s="4" t="s">
        <v>287</v>
      </c>
      <c r="H6" s="4" t="s">
        <v>52</v>
      </c>
      <c r="I6" s="4" t="s">
        <v>63</v>
      </c>
      <c r="J6" s="4" t="s">
        <v>53</v>
      </c>
      <c r="K6" s="4" t="s">
        <v>54</v>
      </c>
      <c r="L6" s="4" t="s">
        <v>53</v>
      </c>
      <c r="M6" s="4" t="s">
        <v>53</v>
      </c>
      <c r="N6" s="4" t="s">
        <v>55</v>
      </c>
      <c r="O6" s="4" t="s">
        <v>55</v>
      </c>
      <c r="P6" s="4" t="s">
        <v>55</v>
      </c>
      <c r="Q6" s="4" t="s">
        <v>55</v>
      </c>
      <c r="R6" s="4" t="s">
        <v>55</v>
      </c>
      <c r="S6" s="4" t="s">
        <v>55</v>
      </c>
      <c r="T6" s="4"/>
      <c r="U6" s="4"/>
    </row>
    <row r="7" spans="1:21" ht="58" x14ac:dyDescent="0.35">
      <c r="A7" s="10" t="s">
        <v>351</v>
      </c>
      <c r="B7" s="10" t="s">
        <v>352</v>
      </c>
      <c r="C7" s="2" t="s">
        <v>353</v>
      </c>
      <c r="D7" s="4" t="s">
        <v>151</v>
      </c>
      <c r="E7" s="4" t="s">
        <v>61</v>
      </c>
      <c r="F7" s="4" t="s">
        <v>50</v>
      </c>
      <c r="G7" s="4" t="s">
        <v>287</v>
      </c>
      <c r="H7" s="4" t="s">
        <v>63</v>
      </c>
      <c r="I7" s="4" t="s">
        <v>63</v>
      </c>
      <c r="J7" s="4" t="s">
        <v>53</v>
      </c>
      <c r="K7" s="4" t="s">
        <v>69</v>
      </c>
      <c r="L7" s="4" t="s">
        <v>75</v>
      </c>
      <c r="M7" s="4" t="s">
        <v>75</v>
      </c>
      <c r="N7" s="4" t="s">
        <v>55</v>
      </c>
      <c r="O7" s="4" t="s">
        <v>56</v>
      </c>
      <c r="P7" s="4" t="s">
        <v>56</v>
      </c>
      <c r="Q7" s="4" t="s">
        <v>55</v>
      </c>
      <c r="R7" s="4" t="s">
        <v>55</v>
      </c>
      <c r="S7" s="4" t="s">
        <v>55</v>
      </c>
      <c r="T7" s="4"/>
      <c r="U7" s="4"/>
    </row>
    <row r="8" spans="1:21" ht="72.5" x14ac:dyDescent="0.35">
      <c r="A8" s="10" t="s">
        <v>351</v>
      </c>
      <c r="B8" s="10" t="s">
        <v>354</v>
      </c>
      <c r="C8" s="2" t="s">
        <v>355</v>
      </c>
      <c r="D8" s="4" t="s">
        <v>48</v>
      </c>
      <c r="E8" s="4" t="s">
        <v>61</v>
      </c>
      <c r="F8" s="4" t="s">
        <v>62</v>
      </c>
      <c r="G8" s="4" t="s">
        <v>62</v>
      </c>
      <c r="H8" s="4" t="s">
        <v>52</v>
      </c>
      <c r="I8" s="4" t="s">
        <v>63</v>
      </c>
      <c r="J8" s="4" t="s">
        <v>53</v>
      </c>
      <c r="K8" s="4" t="s">
        <v>54</v>
      </c>
      <c r="L8" s="4" t="s">
        <v>75</v>
      </c>
      <c r="M8" s="4" t="s">
        <v>75</v>
      </c>
      <c r="N8" s="4" t="s">
        <v>56</v>
      </c>
      <c r="O8" s="4" t="s">
        <v>56</v>
      </c>
      <c r="P8" s="4" t="s">
        <v>56</v>
      </c>
      <c r="Q8" s="4" t="s">
        <v>55</v>
      </c>
      <c r="R8" s="4" t="s">
        <v>55</v>
      </c>
      <c r="S8" s="4" t="s">
        <v>55</v>
      </c>
      <c r="T8" s="4"/>
      <c r="U8" s="4"/>
    </row>
    <row r="9" spans="1:21" ht="29" x14ac:dyDescent="0.35">
      <c r="A9" s="10" t="s">
        <v>153</v>
      </c>
      <c r="B9" s="10" t="s">
        <v>154</v>
      </c>
      <c r="C9" s="2" t="s">
        <v>155</v>
      </c>
      <c r="D9" s="4" t="s">
        <v>104</v>
      </c>
      <c r="E9" s="4" t="s">
        <v>61</v>
      </c>
      <c r="F9" s="9" t="s">
        <v>62</v>
      </c>
      <c r="G9" s="9" t="s">
        <v>62</v>
      </c>
      <c r="H9" s="9" t="s">
        <v>79</v>
      </c>
      <c r="I9" s="9" t="s">
        <v>79</v>
      </c>
      <c r="J9" s="9" t="s">
        <v>79</v>
      </c>
      <c r="K9" s="9" t="s">
        <v>69</v>
      </c>
      <c r="L9" s="9" t="s">
        <v>75</v>
      </c>
      <c r="M9" s="9" t="s">
        <v>75</v>
      </c>
      <c r="N9" s="9" t="s">
        <v>56</v>
      </c>
      <c r="O9" s="9"/>
      <c r="P9" s="9" t="s">
        <v>56</v>
      </c>
      <c r="Q9" s="9" t="s">
        <v>56</v>
      </c>
      <c r="R9" s="9" t="s">
        <v>56</v>
      </c>
      <c r="S9" s="9" t="s">
        <v>56</v>
      </c>
      <c r="T9" s="4"/>
      <c r="U9" s="2"/>
    </row>
    <row r="10" spans="1:21" ht="73" thickBot="1" x14ac:dyDescent="0.4">
      <c r="A10" s="10" t="s">
        <v>153</v>
      </c>
      <c r="B10" s="10" t="s">
        <v>161</v>
      </c>
      <c r="C10" s="2" t="s">
        <v>618</v>
      </c>
      <c r="D10" s="4" t="s">
        <v>104</v>
      </c>
      <c r="E10" s="4" t="s">
        <v>61</v>
      </c>
      <c r="F10" s="9" t="s">
        <v>74</v>
      </c>
      <c r="G10" s="9" t="s">
        <v>74</v>
      </c>
      <c r="H10" s="9" t="s">
        <v>63</v>
      </c>
      <c r="I10" s="9" t="s">
        <v>52</v>
      </c>
      <c r="J10" s="9" t="s">
        <v>79</v>
      </c>
      <c r="K10" s="9" t="s">
        <v>69</v>
      </c>
      <c r="L10" s="9" t="s">
        <v>75</v>
      </c>
      <c r="M10" s="9" t="s">
        <v>75</v>
      </c>
      <c r="N10" s="9" t="s">
        <v>56</v>
      </c>
      <c r="O10" s="9"/>
      <c r="P10" s="9" t="s">
        <v>56</v>
      </c>
      <c r="Q10" s="9" t="s">
        <v>56</v>
      </c>
      <c r="R10" s="9" t="s">
        <v>56</v>
      </c>
      <c r="S10" s="9" t="s">
        <v>56</v>
      </c>
      <c r="T10" s="2"/>
      <c r="U10" s="2"/>
    </row>
    <row r="11" spans="1:21" ht="29" x14ac:dyDescent="0.35">
      <c r="A11" s="10" t="s">
        <v>323</v>
      </c>
      <c r="B11" s="10" t="s">
        <v>375</v>
      </c>
      <c r="C11" s="2" t="s">
        <v>376</v>
      </c>
      <c r="D11" s="4" t="s">
        <v>104</v>
      </c>
      <c r="E11" s="4" t="s">
        <v>61</v>
      </c>
      <c r="F11" s="4" t="s">
        <v>50</v>
      </c>
      <c r="G11" s="4" t="s">
        <v>74</v>
      </c>
      <c r="H11" s="4" t="s">
        <v>79</v>
      </c>
      <c r="I11" s="4" t="s">
        <v>79</v>
      </c>
      <c r="J11" s="4" t="s">
        <v>63</v>
      </c>
      <c r="K11" s="4" t="s">
        <v>69</v>
      </c>
      <c r="L11" s="4" t="s">
        <v>76</v>
      </c>
      <c r="M11" s="4" t="s">
        <v>53</v>
      </c>
      <c r="N11" s="4" t="s">
        <v>55</v>
      </c>
      <c r="O11" s="4"/>
      <c r="P11" s="4" t="s">
        <v>56</v>
      </c>
      <c r="Q11" s="4" t="s">
        <v>55</v>
      </c>
      <c r="R11" s="4" t="s">
        <v>55</v>
      </c>
      <c r="S11" s="4" t="s">
        <v>56</v>
      </c>
      <c r="T11" s="2"/>
      <c r="U11" s="8"/>
    </row>
    <row r="12" spans="1:21" ht="29" x14ac:dyDescent="0.35">
      <c r="A12" s="10" t="s">
        <v>279</v>
      </c>
      <c r="B12" s="10" t="s">
        <v>280</v>
      </c>
      <c r="C12" s="2" t="s">
        <v>281</v>
      </c>
      <c r="D12" s="4" t="s">
        <v>48</v>
      </c>
      <c r="E12" s="4" t="s">
        <v>61</v>
      </c>
      <c r="F12" s="4" t="s">
        <v>62</v>
      </c>
      <c r="G12" s="4" t="s">
        <v>62</v>
      </c>
      <c r="H12" s="4" t="s">
        <v>52</v>
      </c>
      <c r="I12" s="4" t="s">
        <v>52</v>
      </c>
      <c r="J12" s="4" t="s">
        <v>52</v>
      </c>
      <c r="K12" s="4" t="s">
        <v>69</v>
      </c>
      <c r="L12" s="4" t="s">
        <v>76</v>
      </c>
      <c r="M12" s="4" t="s">
        <v>53</v>
      </c>
      <c r="N12" s="4" t="s">
        <v>55</v>
      </c>
      <c r="O12" s="4" t="s">
        <v>55</v>
      </c>
      <c r="P12" s="4" t="s">
        <v>56</v>
      </c>
      <c r="Q12" s="4" t="s">
        <v>56</v>
      </c>
      <c r="R12" s="4" t="s">
        <v>55</v>
      </c>
      <c r="S12" s="4" t="s">
        <v>55</v>
      </c>
      <c r="T12" s="2"/>
      <c r="U12" s="2"/>
    </row>
    <row r="13" spans="1:21" ht="58.5" thickBot="1" x14ac:dyDescent="0.4">
      <c r="A13" s="10" t="s">
        <v>279</v>
      </c>
      <c r="B13" s="1" t="s">
        <v>283</v>
      </c>
      <c r="C13" s="2" t="s">
        <v>284</v>
      </c>
      <c r="D13" s="4" t="s">
        <v>48</v>
      </c>
      <c r="E13" s="4" t="s">
        <v>61</v>
      </c>
      <c r="F13" s="4" t="s">
        <v>62</v>
      </c>
      <c r="G13" s="4" t="s">
        <v>62</v>
      </c>
      <c r="H13" s="4" t="s">
        <v>63</v>
      </c>
      <c r="I13" s="4" t="s">
        <v>63</v>
      </c>
      <c r="J13" s="4" t="s">
        <v>63</v>
      </c>
      <c r="K13" s="4" t="s">
        <v>54</v>
      </c>
      <c r="L13" s="4" t="s">
        <v>76</v>
      </c>
      <c r="M13" s="4" t="s">
        <v>53</v>
      </c>
      <c r="N13" s="4" t="s">
        <v>55</v>
      </c>
      <c r="O13" s="4" t="s">
        <v>55</v>
      </c>
      <c r="P13" s="4" t="s">
        <v>56</v>
      </c>
      <c r="Q13" s="4" t="s">
        <v>56</v>
      </c>
      <c r="R13" s="4" t="s">
        <v>55</v>
      </c>
      <c r="S13" s="4" t="s">
        <v>55</v>
      </c>
      <c r="T13" s="2"/>
      <c r="U13" s="2"/>
    </row>
    <row r="14" spans="1:21" ht="44" thickBot="1" x14ac:dyDescent="0.4">
      <c r="A14" s="10" t="s">
        <v>279</v>
      </c>
      <c r="B14" s="1" t="s">
        <v>285</v>
      </c>
      <c r="C14" s="2" t="s">
        <v>286</v>
      </c>
      <c r="D14" s="4" t="s">
        <v>104</v>
      </c>
      <c r="E14" s="4" t="s">
        <v>61</v>
      </c>
      <c r="F14" s="4" t="s">
        <v>50</v>
      </c>
      <c r="G14" s="4" t="s">
        <v>287</v>
      </c>
      <c r="H14" s="4" t="s">
        <v>63</v>
      </c>
      <c r="I14" s="4" t="s">
        <v>52</v>
      </c>
      <c r="J14" s="4" t="s">
        <v>52</v>
      </c>
      <c r="K14" s="4" t="s">
        <v>69</v>
      </c>
      <c r="L14" s="4" t="s">
        <v>76</v>
      </c>
      <c r="M14" s="4" t="s">
        <v>53</v>
      </c>
      <c r="N14" s="4" t="s">
        <v>55</v>
      </c>
      <c r="O14" s="4" t="s">
        <v>55</v>
      </c>
      <c r="P14" s="4" t="s">
        <v>56</v>
      </c>
      <c r="Q14" s="4" t="s">
        <v>56</v>
      </c>
      <c r="R14" s="4" t="s">
        <v>55</v>
      </c>
      <c r="S14" s="4" t="s">
        <v>55</v>
      </c>
      <c r="T14" s="2"/>
      <c r="U14" s="8"/>
    </row>
    <row r="15" spans="1:21" ht="29" x14ac:dyDescent="0.35">
      <c r="A15" s="10" t="s">
        <v>273</v>
      </c>
      <c r="B15" s="10" t="s">
        <v>274</v>
      </c>
      <c r="C15" s="2" t="s">
        <v>275</v>
      </c>
      <c r="D15" s="4" t="s">
        <v>151</v>
      </c>
      <c r="E15" s="4" t="s">
        <v>61</v>
      </c>
      <c r="F15" s="4" t="s">
        <v>62</v>
      </c>
      <c r="G15" s="4" t="s">
        <v>62</v>
      </c>
      <c r="H15" s="4" t="s">
        <v>63</v>
      </c>
      <c r="I15" s="4" t="s">
        <v>52</v>
      </c>
      <c r="J15" s="4" t="s">
        <v>63</v>
      </c>
      <c r="K15" s="4" t="s">
        <v>54</v>
      </c>
      <c r="L15" s="4" t="s">
        <v>76</v>
      </c>
      <c r="M15" s="4" t="s">
        <v>53</v>
      </c>
      <c r="N15" s="4" t="s">
        <v>55</v>
      </c>
      <c r="O15" s="4"/>
      <c r="P15" s="4" t="s">
        <v>56</v>
      </c>
      <c r="Q15" s="4" t="s">
        <v>56</v>
      </c>
      <c r="R15" s="4" t="s">
        <v>56</v>
      </c>
      <c r="S15" s="4" t="s">
        <v>55</v>
      </c>
      <c r="T15" s="2"/>
      <c r="U15" s="8"/>
    </row>
    <row r="16" spans="1:21" ht="43.5" x14ac:dyDescent="0.35">
      <c r="A16" s="10" t="s">
        <v>273</v>
      </c>
      <c r="B16" s="1" t="s">
        <v>277</v>
      </c>
      <c r="C16" s="2" t="s">
        <v>278</v>
      </c>
      <c r="D16" s="4" t="s">
        <v>104</v>
      </c>
      <c r="E16" s="4" t="s">
        <v>61</v>
      </c>
      <c r="F16" s="4" t="s">
        <v>62</v>
      </c>
      <c r="G16" s="4" t="s">
        <v>62</v>
      </c>
      <c r="H16" s="4" t="s">
        <v>63</v>
      </c>
      <c r="I16" s="4" t="s">
        <v>52</v>
      </c>
      <c r="J16" s="4" t="s">
        <v>79</v>
      </c>
      <c r="K16" s="4" t="s">
        <v>54</v>
      </c>
      <c r="L16" s="4" t="s">
        <v>76</v>
      </c>
      <c r="M16" s="4" t="s">
        <v>53</v>
      </c>
      <c r="N16" s="4" t="s">
        <v>55</v>
      </c>
      <c r="O16" s="4"/>
      <c r="P16" s="4" t="s">
        <v>55</v>
      </c>
      <c r="Q16" s="4" t="s">
        <v>56</v>
      </c>
      <c r="R16" s="4" t="s">
        <v>56</v>
      </c>
      <c r="S16" s="4" t="s">
        <v>55</v>
      </c>
      <c r="T16" s="2"/>
      <c r="U16" s="2"/>
    </row>
    <row r="17" spans="1:21" ht="29.5" thickBot="1" x14ac:dyDescent="0.4">
      <c r="A17" s="10" t="s">
        <v>356</v>
      </c>
      <c r="B17" s="10" t="s">
        <v>357</v>
      </c>
      <c r="C17" s="2" t="s">
        <v>619</v>
      </c>
      <c r="D17" s="4" t="s">
        <v>48</v>
      </c>
      <c r="E17" s="4" t="s">
        <v>61</v>
      </c>
      <c r="F17" s="4" t="s">
        <v>74</v>
      </c>
      <c r="G17" s="4" t="s">
        <v>139</v>
      </c>
      <c r="H17" s="4" t="s">
        <v>52</v>
      </c>
      <c r="I17" s="4" t="s">
        <v>52</v>
      </c>
      <c r="J17" s="4" t="s">
        <v>53</v>
      </c>
      <c r="K17" s="4" t="s">
        <v>69</v>
      </c>
      <c r="L17" s="4" t="s">
        <v>76</v>
      </c>
      <c r="M17" s="4" t="s">
        <v>53</v>
      </c>
      <c r="N17" s="4" t="s">
        <v>55</v>
      </c>
      <c r="O17" s="4" t="s">
        <v>55</v>
      </c>
      <c r="P17" s="4" t="s">
        <v>56</v>
      </c>
      <c r="Q17" s="4" t="s">
        <v>56</v>
      </c>
      <c r="R17" s="4" t="s">
        <v>55</v>
      </c>
      <c r="S17" s="4" t="s">
        <v>55</v>
      </c>
      <c r="T17" s="2" t="s">
        <v>92</v>
      </c>
      <c r="U17" s="2" t="s">
        <v>359</v>
      </c>
    </row>
    <row r="18" spans="1:21" ht="29" x14ac:dyDescent="0.35">
      <c r="A18" s="10" t="s">
        <v>620</v>
      </c>
      <c r="B18" s="10" t="s">
        <v>46</v>
      </c>
      <c r="C18" s="2" t="s">
        <v>47</v>
      </c>
      <c r="D18" s="4" t="s">
        <v>48</v>
      </c>
      <c r="E18" s="4" t="s">
        <v>61</v>
      </c>
      <c r="F18" s="4" t="s">
        <v>50</v>
      </c>
      <c r="G18" s="4" t="s">
        <v>51</v>
      </c>
      <c r="H18" s="4" t="s">
        <v>52</v>
      </c>
      <c r="I18" s="4" t="s">
        <v>53</v>
      </c>
      <c r="J18" s="4" t="s">
        <v>53</v>
      </c>
      <c r="K18" s="4" t="s">
        <v>54</v>
      </c>
      <c r="L18" s="4" t="s">
        <v>53</v>
      </c>
      <c r="M18" s="4" t="s">
        <v>53</v>
      </c>
      <c r="N18" s="4" t="s">
        <v>55</v>
      </c>
      <c r="O18" s="4" t="s">
        <v>55</v>
      </c>
      <c r="P18" s="4" t="s">
        <v>56</v>
      </c>
      <c r="Q18" s="4" t="s">
        <v>55</v>
      </c>
      <c r="R18" s="4" t="s">
        <v>55</v>
      </c>
      <c r="S18" s="4" t="s">
        <v>56</v>
      </c>
      <c r="T18" s="4" t="s">
        <v>57</v>
      </c>
      <c r="U18" s="8"/>
    </row>
    <row r="19" spans="1:21" ht="73" thickBot="1" x14ac:dyDescent="0.4">
      <c r="A19" s="10" t="s">
        <v>620</v>
      </c>
      <c r="B19" s="48" t="s">
        <v>58</v>
      </c>
      <c r="C19" s="49" t="s">
        <v>59</v>
      </c>
      <c r="D19" t="s">
        <v>104</v>
      </c>
      <c r="E19" t="s">
        <v>61</v>
      </c>
      <c r="F19" t="s">
        <v>62</v>
      </c>
      <c r="G19" t="s">
        <v>62</v>
      </c>
      <c r="H19" t="s">
        <v>63</v>
      </c>
      <c r="I19" t="s">
        <v>63</v>
      </c>
      <c r="J19" t="s">
        <v>53</v>
      </c>
      <c r="K19" t="s">
        <v>54</v>
      </c>
      <c r="L19" t="s">
        <v>53</v>
      </c>
      <c r="M19" t="s">
        <v>53</v>
      </c>
      <c r="N19" t="s">
        <v>55</v>
      </c>
      <c r="O19" t="s">
        <v>55</v>
      </c>
      <c r="P19" t="s">
        <v>55</v>
      </c>
      <c r="Q19" t="s">
        <v>55</v>
      </c>
      <c r="R19" t="s">
        <v>55</v>
      </c>
      <c r="S19" t="s">
        <v>55</v>
      </c>
      <c r="T19" s="40" t="s">
        <v>64</v>
      </c>
      <c r="U19" s="2" t="s">
        <v>65</v>
      </c>
    </row>
    <row r="20" spans="1:21" ht="58" x14ac:dyDescent="0.35">
      <c r="A20" s="10" t="s">
        <v>620</v>
      </c>
      <c r="B20" s="48" t="s">
        <v>66</v>
      </c>
      <c r="C20" s="49" t="s">
        <v>67</v>
      </c>
      <c r="D20" t="s">
        <v>104</v>
      </c>
      <c r="E20" t="s">
        <v>61</v>
      </c>
      <c r="F20" t="s">
        <v>62</v>
      </c>
      <c r="G20" t="s">
        <v>62</v>
      </c>
      <c r="H20" t="s">
        <v>68</v>
      </c>
      <c r="I20" t="s">
        <v>63</v>
      </c>
      <c r="J20" t="s">
        <v>53</v>
      </c>
      <c r="K20" t="s">
        <v>69</v>
      </c>
      <c r="L20" t="s">
        <v>53</v>
      </c>
      <c r="M20" t="s">
        <v>53</v>
      </c>
      <c r="N20" t="s">
        <v>55</v>
      </c>
      <c r="O20" t="s">
        <v>55</v>
      </c>
      <c r="P20" t="s">
        <v>55</v>
      </c>
      <c r="Q20" t="s">
        <v>55</v>
      </c>
      <c r="R20" t="s">
        <v>55</v>
      </c>
      <c r="S20" t="s">
        <v>55</v>
      </c>
      <c r="T20" s="40"/>
      <c r="U20" s="8" t="s">
        <v>70</v>
      </c>
    </row>
    <row r="21" spans="1:21" ht="130.5" x14ac:dyDescent="0.35">
      <c r="A21" s="10" t="s">
        <v>620</v>
      </c>
      <c r="B21" s="10" t="s">
        <v>71</v>
      </c>
      <c r="C21" s="2" t="s">
        <v>72</v>
      </c>
      <c r="D21" t="s">
        <v>104</v>
      </c>
      <c r="E21" t="s">
        <v>61</v>
      </c>
      <c r="F21" t="s">
        <v>73</v>
      </c>
      <c r="G21" t="s">
        <v>74</v>
      </c>
      <c r="H21" t="s">
        <v>63</v>
      </c>
      <c r="I21" t="s">
        <v>63</v>
      </c>
      <c r="J21" t="s">
        <v>53</v>
      </c>
      <c r="K21" t="s">
        <v>54</v>
      </c>
      <c r="L21" t="s">
        <v>75</v>
      </c>
      <c r="M21" t="s">
        <v>76</v>
      </c>
      <c r="N21" t="s">
        <v>55</v>
      </c>
      <c r="O21" t="s">
        <v>56</v>
      </c>
      <c r="P21" t="s">
        <v>56</v>
      </c>
      <c r="Q21" t="s">
        <v>56</v>
      </c>
      <c r="R21" t="s">
        <v>56</v>
      </c>
      <c r="S21" t="s">
        <v>56</v>
      </c>
      <c r="T21" s="40" t="s">
        <v>64</v>
      </c>
      <c r="U21" s="2"/>
    </row>
    <row r="22" spans="1:21" ht="101.5" x14ac:dyDescent="0.35">
      <c r="A22" s="10" t="s">
        <v>620</v>
      </c>
      <c r="B22" s="10" t="s">
        <v>77</v>
      </c>
      <c r="C22" s="4" t="s">
        <v>621</v>
      </c>
      <c r="D22" t="s">
        <v>48</v>
      </c>
      <c r="E22" t="s">
        <v>61</v>
      </c>
      <c r="F22" t="s">
        <v>62</v>
      </c>
      <c r="G22" t="s">
        <v>62</v>
      </c>
      <c r="H22" t="s">
        <v>68</v>
      </c>
      <c r="I22" t="s">
        <v>79</v>
      </c>
      <c r="J22" t="s">
        <v>53</v>
      </c>
      <c r="K22" t="s">
        <v>54</v>
      </c>
      <c r="L22" t="s">
        <v>76</v>
      </c>
      <c r="M22" t="s">
        <v>53</v>
      </c>
      <c r="N22" t="s">
        <v>55</v>
      </c>
      <c r="O22" t="s">
        <v>55</v>
      </c>
      <c r="P22" t="s">
        <v>56</v>
      </c>
      <c r="Q22" t="s">
        <v>55</v>
      </c>
      <c r="R22" t="s">
        <v>55</v>
      </c>
      <c r="S22" t="s">
        <v>55</v>
      </c>
      <c r="T22" s="40"/>
      <c r="U22" s="2" t="s">
        <v>80</v>
      </c>
    </row>
    <row r="23" spans="1:21" ht="58" x14ac:dyDescent="0.35">
      <c r="A23" s="10" t="s">
        <v>620</v>
      </c>
      <c r="B23" s="10" t="s">
        <v>85</v>
      </c>
      <c r="C23" s="4" t="s">
        <v>86</v>
      </c>
      <c r="D23" t="s">
        <v>87</v>
      </c>
      <c r="E23" t="s">
        <v>61</v>
      </c>
      <c r="F23" t="s">
        <v>62</v>
      </c>
      <c r="G23" t="s">
        <v>62</v>
      </c>
      <c r="H23" t="s">
        <v>63</v>
      </c>
      <c r="I23" t="s">
        <v>63</v>
      </c>
      <c r="J23" t="s">
        <v>63</v>
      </c>
      <c r="K23" t="s">
        <v>54</v>
      </c>
      <c r="L23" t="s">
        <v>76</v>
      </c>
      <c r="M23" t="s">
        <v>53</v>
      </c>
      <c r="N23" t="s">
        <v>55</v>
      </c>
      <c r="O23" t="s">
        <v>55</v>
      </c>
      <c r="P23" t="s">
        <v>56</v>
      </c>
      <c r="Q23" t="s">
        <v>55</v>
      </c>
      <c r="R23" t="s">
        <v>55</v>
      </c>
      <c r="S23" t="s">
        <v>56</v>
      </c>
      <c r="T23" s="40"/>
      <c r="U23" s="2" t="s">
        <v>88</v>
      </c>
    </row>
    <row r="24" spans="1:21" ht="29.5" thickBot="1" x14ac:dyDescent="0.4">
      <c r="A24" s="10" t="s">
        <v>95</v>
      </c>
      <c r="B24" s="10" t="s">
        <v>96</v>
      </c>
      <c r="C24" s="2" t="s">
        <v>97</v>
      </c>
      <c r="D24" s="4" t="s">
        <v>104</v>
      </c>
      <c r="E24" s="4" t="s">
        <v>61</v>
      </c>
      <c r="F24" s="4" t="s">
        <v>98</v>
      </c>
      <c r="G24" s="4" t="s">
        <v>99</v>
      </c>
      <c r="H24" s="4" t="s">
        <v>52</v>
      </c>
      <c r="I24" s="4" t="s">
        <v>52</v>
      </c>
      <c r="J24" s="4" t="s">
        <v>52</v>
      </c>
      <c r="K24" s="4" t="s">
        <v>69</v>
      </c>
      <c r="L24" s="4" t="s">
        <v>76</v>
      </c>
      <c r="M24" s="4" t="s">
        <v>53</v>
      </c>
      <c r="N24" s="4" t="s">
        <v>55</v>
      </c>
      <c r="O24" s="4" t="s">
        <v>55</v>
      </c>
      <c r="P24" s="4" t="s">
        <v>55</v>
      </c>
      <c r="Q24" s="4" t="s">
        <v>55</v>
      </c>
      <c r="R24" s="4" t="s">
        <v>56</v>
      </c>
      <c r="S24" s="4" t="s">
        <v>55</v>
      </c>
      <c r="T24" s="4"/>
      <c r="U24" s="2" t="s">
        <v>622</v>
      </c>
    </row>
    <row r="25" spans="1:21" ht="58" x14ac:dyDescent="0.35">
      <c r="A25" s="10" t="s">
        <v>95</v>
      </c>
      <c r="B25" s="10" t="s">
        <v>118</v>
      </c>
      <c r="C25" s="2" t="s">
        <v>119</v>
      </c>
      <c r="D25" t="s">
        <v>104</v>
      </c>
      <c r="E25" t="s">
        <v>61</v>
      </c>
      <c r="F25" t="s">
        <v>62</v>
      </c>
      <c r="G25" t="s">
        <v>62</v>
      </c>
      <c r="H25" t="s">
        <v>68</v>
      </c>
      <c r="I25" t="s">
        <v>52</v>
      </c>
      <c r="J25" t="s">
        <v>79</v>
      </c>
      <c r="K25" t="s">
        <v>54</v>
      </c>
      <c r="L25" t="s">
        <v>76</v>
      </c>
      <c r="M25" t="s">
        <v>53</v>
      </c>
      <c r="N25" t="s">
        <v>55</v>
      </c>
      <c r="O25" t="s">
        <v>55</v>
      </c>
      <c r="P25" t="s">
        <v>55</v>
      </c>
      <c r="Q25" t="s">
        <v>55</v>
      </c>
      <c r="R25" t="s">
        <v>56</v>
      </c>
      <c r="S25" t="s">
        <v>55</v>
      </c>
      <c r="T25" s="40"/>
      <c r="U25" s="8"/>
    </row>
    <row r="26" spans="1:21" x14ac:dyDescent="0.35">
      <c r="A26" s="10" t="s">
        <v>95</v>
      </c>
      <c r="B26" s="10" t="s">
        <v>120</v>
      </c>
      <c r="C26" s="2" t="s">
        <v>121</v>
      </c>
      <c r="D26" t="s">
        <v>104</v>
      </c>
      <c r="E26" t="s">
        <v>61</v>
      </c>
      <c r="F26" t="s">
        <v>62</v>
      </c>
      <c r="G26" t="s">
        <v>115</v>
      </c>
      <c r="H26" t="s">
        <v>63</v>
      </c>
      <c r="I26" t="s">
        <v>52</v>
      </c>
      <c r="J26" t="s">
        <v>52</v>
      </c>
      <c r="K26" t="s">
        <v>69</v>
      </c>
      <c r="L26" t="s">
        <v>76</v>
      </c>
      <c r="M26" t="s">
        <v>53</v>
      </c>
      <c r="N26" t="s">
        <v>55</v>
      </c>
      <c r="O26" t="s">
        <v>55</v>
      </c>
      <c r="P26" t="s">
        <v>55</v>
      </c>
      <c r="Q26" t="s">
        <v>55</v>
      </c>
      <c r="R26" t="s">
        <v>56</v>
      </c>
      <c r="S26" t="s">
        <v>55</v>
      </c>
      <c r="T26" s="40"/>
      <c r="U26" s="2"/>
    </row>
    <row r="27" spans="1:21" ht="29" x14ac:dyDescent="0.35">
      <c r="A27" s="10" t="s">
        <v>95</v>
      </c>
      <c r="B27" s="10" t="s">
        <v>122</v>
      </c>
      <c r="C27" s="2" t="s">
        <v>125</v>
      </c>
      <c r="D27" t="s">
        <v>48</v>
      </c>
      <c r="E27" t="s">
        <v>61</v>
      </c>
      <c r="F27" t="s">
        <v>62</v>
      </c>
      <c r="G27" t="s">
        <v>62</v>
      </c>
      <c r="H27" t="s">
        <v>68</v>
      </c>
      <c r="I27" t="s">
        <v>52</v>
      </c>
      <c r="J27" t="s">
        <v>79</v>
      </c>
      <c r="K27" t="s">
        <v>54</v>
      </c>
      <c r="L27" t="s">
        <v>76</v>
      </c>
      <c r="M27" t="s">
        <v>53</v>
      </c>
      <c r="N27" t="s">
        <v>55</v>
      </c>
      <c r="O27" t="s">
        <v>55</v>
      </c>
      <c r="P27" t="s">
        <v>56</v>
      </c>
      <c r="Q27" t="s">
        <v>56</v>
      </c>
      <c r="R27" t="s">
        <v>56</v>
      </c>
      <c r="S27" t="s">
        <v>56</v>
      </c>
      <c r="T27" s="40"/>
      <c r="U27" s="2"/>
    </row>
    <row r="28" spans="1:21" ht="29" x14ac:dyDescent="0.35">
      <c r="A28" s="10" t="s">
        <v>92</v>
      </c>
      <c r="B28" s="1" t="s">
        <v>451</v>
      </c>
      <c r="C28" s="2" t="s">
        <v>623</v>
      </c>
      <c r="D28" t="s">
        <v>104</v>
      </c>
      <c r="E28" t="s">
        <v>61</v>
      </c>
      <c r="F28" t="s">
        <v>62</v>
      </c>
      <c r="G28" t="s">
        <v>177</v>
      </c>
      <c r="H28" t="s">
        <v>52</v>
      </c>
      <c r="I28" t="s">
        <v>52</v>
      </c>
      <c r="J28" t="s">
        <v>63</v>
      </c>
      <c r="K28" t="s">
        <v>69</v>
      </c>
      <c r="L28" t="s">
        <v>91</v>
      </c>
      <c r="M28" t="s">
        <v>75</v>
      </c>
      <c r="N28" t="s">
        <v>56</v>
      </c>
      <c r="O28" t="s">
        <v>56</v>
      </c>
      <c r="P28" t="s">
        <v>56</v>
      </c>
      <c r="Q28" t="s">
        <v>55</v>
      </c>
      <c r="R28" t="s">
        <v>55</v>
      </c>
      <c r="S28" t="s">
        <v>56</v>
      </c>
      <c r="T28" s="40" t="s">
        <v>191</v>
      </c>
      <c r="U28" s="2" t="s">
        <v>192</v>
      </c>
    </row>
    <row r="29" spans="1:21" ht="29" x14ac:dyDescent="0.35">
      <c r="A29" s="10" t="s">
        <v>146</v>
      </c>
      <c r="B29" s="10" t="s">
        <v>51</v>
      </c>
      <c r="C29" s="2" t="s">
        <v>316</v>
      </c>
      <c r="D29" s="4" t="s">
        <v>87</v>
      </c>
      <c r="E29" s="4" t="s">
        <v>61</v>
      </c>
      <c r="F29" s="4" t="s">
        <v>73</v>
      </c>
      <c r="G29" s="4" t="s">
        <v>74</v>
      </c>
      <c r="H29" s="4" t="s">
        <v>79</v>
      </c>
      <c r="I29" s="4" t="s">
        <v>52</v>
      </c>
      <c r="J29" s="4" t="s">
        <v>52</v>
      </c>
      <c r="K29" s="4" t="s">
        <v>69</v>
      </c>
      <c r="L29" s="4" t="s">
        <v>76</v>
      </c>
      <c r="M29" s="4" t="s">
        <v>76</v>
      </c>
      <c r="N29" s="4" t="s">
        <v>55</v>
      </c>
      <c r="O29" s="4"/>
      <c r="P29" s="4" t="s">
        <v>56</v>
      </c>
      <c r="Q29" s="4" t="s">
        <v>56</v>
      </c>
      <c r="R29" s="4" t="s">
        <v>56</v>
      </c>
      <c r="S29" s="4" t="s">
        <v>56</v>
      </c>
      <c r="T29" s="4"/>
      <c r="U29" s="2"/>
    </row>
    <row r="30" spans="1:21" ht="43.5" x14ac:dyDescent="0.35">
      <c r="A30" s="10" t="s">
        <v>146</v>
      </c>
      <c r="B30" s="1" t="s">
        <v>115</v>
      </c>
      <c r="C30" s="2" t="s">
        <v>319</v>
      </c>
      <c r="D30" t="s">
        <v>104</v>
      </c>
      <c r="E30" t="s">
        <v>61</v>
      </c>
      <c r="F30" t="s">
        <v>73</v>
      </c>
      <c r="H30" t="s">
        <v>63</v>
      </c>
      <c r="I30" t="s">
        <v>63</v>
      </c>
      <c r="J30" t="s">
        <v>79</v>
      </c>
      <c r="K30" t="s">
        <v>54</v>
      </c>
      <c r="L30" t="s">
        <v>53</v>
      </c>
      <c r="M30" t="s">
        <v>53</v>
      </c>
      <c r="N30" t="s">
        <v>55</v>
      </c>
      <c r="O30" t="s">
        <v>55</v>
      </c>
      <c r="P30" t="s">
        <v>55</v>
      </c>
      <c r="Q30" t="s">
        <v>55</v>
      </c>
      <c r="R30" t="s">
        <v>56</v>
      </c>
      <c r="S30" t="s">
        <v>55</v>
      </c>
      <c r="T30" s="40" t="s">
        <v>317</v>
      </c>
      <c r="U30" s="2"/>
    </row>
    <row r="31" spans="1:21" ht="29.5" thickBot="1" x14ac:dyDescent="0.4">
      <c r="A31" s="10" t="s">
        <v>135</v>
      </c>
      <c r="B31" s="10" t="s">
        <v>136</v>
      </c>
      <c r="C31" s="2" t="s">
        <v>137</v>
      </c>
      <c r="D31" s="4" t="s">
        <v>48</v>
      </c>
      <c r="E31" s="4" t="s">
        <v>61</v>
      </c>
      <c r="F31" s="4" t="s">
        <v>73</v>
      </c>
      <c r="G31" s="4" t="s">
        <v>139</v>
      </c>
      <c r="H31" s="4" t="s">
        <v>63</v>
      </c>
      <c r="I31" s="4" t="s">
        <v>63</v>
      </c>
      <c r="J31" s="4" t="s">
        <v>53</v>
      </c>
      <c r="K31" s="4" t="s">
        <v>54</v>
      </c>
      <c r="L31" s="4" t="s">
        <v>76</v>
      </c>
      <c r="M31" s="4" t="s">
        <v>53</v>
      </c>
      <c r="N31" s="4" t="s">
        <v>55</v>
      </c>
      <c r="O31" s="4"/>
      <c r="P31" s="4" t="s">
        <v>56</v>
      </c>
      <c r="Q31" s="4" t="s">
        <v>55</v>
      </c>
      <c r="R31" s="4" t="s">
        <v>55</v>
      </c>
      <c r="S31" s="4" t="s">
        <v>55</v>
      </c>
      <c r="T31" s="4"/>
      <c r="U31" s="2"/>
    </row>
    <row r="32" spans="1:21" ht="43.5" x14ac:dyDescent="0.35">
      <c r="A32" s="10" t="s">
        <v>135</v>
      </c>
      <c r="B32" s="1" t="s">
        <v>140</v>
      </c>
      <c r="C32" s="2" t="s">
        <v>141</v>
      </c>
      <c r="D32" t="s">
        <v>48</v>
      </c>
      <c r="E32" t="s">
        <v>61</v>
      </c>
      <c r="F32" t="s">
        <v>73</v>
      </c>
      <c r="H32" t="s">
        <v>63</v>
      </c>
      <c r="I32" t="s">
        <v>63</v>
      </c>
      <c r="J32" t="s">
        <v>53</v>
      </c>
      <c r="K32" t="s">
        <v>54</v>
      </c>
      <c r="L32" t="s">
        <v>76</v>
      </c>
      <c r="M32" t="s">
        <v>53</v>
      </c>
      <c r="N32" t="s">
        <v>55</v>
      </c>
      <c r="O32" t="s">
        <v>55</v>
      </c>
      <c r="P32" t="s">
        <v>56</v>
      </c>
      <c r="Q32" t="s">
        <v>56</v>
      </c>
      <c r="R32" t="s">
        <v>55</v>
      </c>
      <c r="S32" t="s">
        <v>55</v>
      </c>
      <c r="T32" s="40"/>
      <c r="U32" s="8"/>
    </row>
    <row r="33" spans="1:21" x14ac:dyDescent="0.35">
      <c r="A33" s="10" t="s">
        <v>135</v>
      </c>
      <c r="B33" s="1" t="s">
        <v>142</v>
      </c>
      <c r="C33" s="2" t="s">
        <v>143</v>
      </c>
      <c r="D33" t="s">
        <v>48</v>
      </c>
      <c r="E33" t="s">
        <v>61</v>
      </c>
      <c r="F33" t="s">
        <v>73</v>
      </c>
      <c r="H33" t="s">
        <v>63</v>
      </c>
      <c r="I33" t="s">
        <v>63</v>
      </c>
      <c r="J33" t="s">
        <v>53</v>
      </c>
      <c r="K33" t="s">
        <v>54</v>
      </c>
      <c r="L33" t="s">
        <v>76</v>
      </c>
      <c r="M33" t="s">
        <v>53</v>
      </c>
      <c r="N33" t="s">
        <v>55</v>
      </c>
      <c r="O33" t="s">
        <v>55</v>
      </c>
      <c r="P33" t="s">
        <v>56</v>
      </c>
      <c r="Q33" t="s">
        <v>55</v>
      </c>
      <c r="R33" t="s">
        <v>55</v>
      </c>
      <c r="S33" t="s">
        <v>55</v>
      </c>
      <c r="T33" s="40"/>
      <c r="U33" s="2"/>
    </row>
    <row r="34" spans="1:21" ht="72.5" x14ac:dyDescent="0.35">
      <c r="A34" s="10" t="s">
        <v>135</v>
      </c>
      <c r="B34" s="1" t="s">
        <v>149</v>
      </c>
      <c r="C34" s="2" t="s">
        <v>150</v>
      </c>
      <c r="D34" t="s">
        <v>151</v>
      </c>
      <c r="E34" t="s">
        <v>61</v>
      </c>
      <c r="F34" t="s">
        <v>62</v>
      </c>
      <c r="G34" t="s">
        <v>139</v>
      </c>
      <c r="H34" t="s">
        <v>63</v>
      </c>
      <c r="I34" t="s">
        <v>53</v>
      </c>
      <c r="J34" t="s">
        <v>53</v>
      </c>
      <c r="K34" t="s">
        <v>54</v>
      </c>
      <c r="L34" t="s">
        <v>76</v>
      </c>
      <c r="M34" t="s">
        <v>53</v>
      </c>
      <c r="N34" t="s">
        <v>55</v>
      </c>
      <c r="O34" t="s">
        <v>55</v>
      </c>
      <c r="P34" t="s">
        <v>56</v>
      </c>
      <c r="Q34" t="s">
        <v>55</v>
      </c>
      <c r="R34" t="s">
        <v>55</v>
      </c>
      <c r="S34" t="s">
        <v>55</v>
      </c>
      <c r="T34" s="40"/>
      <c r="U34" s="2"/>
    </row>
    <row r="35" spans="1:21" ht="101.5" x14ac:dyDescent="0.35">
      <c r="A35" s="10" t="s">
        <v>398</v>
      </c>
      <c r="B35" s="10" t="s">
        <v>403</v>
      </c>
      <c r="C35" s="2" t="s">
        <v>404</v>
      </c>
      <c r="D35" t="s">
        <v>104</v>
      </c>
      <c r="E35" t="s">
        <v>61</v>
      </c>
      <c r="F35" t="s">
        <v>62</v>
      </c>
      <c r="G35" t="s">
        <v>62</v>
      </c>
      <c r="H35" t="s">
        <v>63</v>
      </c>
      <c r="I35" t="s">
        <v>63</v>
      </c>
      <c r="J35" t="s">
        <v>53</v>
      </c>
      <c r="K35" t="s">
        <v>69</v>
      </c>
      <c r="L35" t="s">
        <v>75</v>
      </c>
      <c r="M35" t="s">
        <v>76</v>
      </c>
      <c r="N35" t="s">
        <v>55</v>
      </c>
      <c r="O35" t="s">
        <v>56</v>
      </c>
      <c r="P35" t="s">
        <v>56</v>
      </c>
      <c r="Q35" t="s">
        <v>55</v>
      </c>
      <c r="R35" t="s">
        <v>55</v>
      </c>
      <c r="S35" t="s">
        <v>55</v>
      </c>
      <c r="T35" s="40" t="s">
        <v>153</v>
      </c>
      <c r="U35" s="2"/>
    </row>
    <row r="36" spans="1:21" ht="58" hidden="1" x14ac:dyDescent="0.35">
      <c r="A36" s="10" t="s">
        <v>83</v>
      </c>
      <c r="B36" s="10" t="s">
        <v>340</v>
      </c>
      <c r="C36" s="2" t="s">
        <v>611</v>
      </c>
      <c r="D36" s="4" t="s">
        <v>104</v>
      </c>
      <c r="E36" s="4" t="s">
        <v>49</v>
      </c>
      <c r="F36" s="4" t="s">
        <v>62</v>
      </c>
      <c r="G36" s="4" t="s">
        <v>62</v>
      </c>
      <c r="H36" s="4" t="s">
        <v>79</v>
      </c>
      <c r="I36" s="4" t="s">
        <v>79</v>
      </c>
      <c r="J36" s="4" t="s">
        <v>53</v>
      </c>
      <c r="K36" s="4" t="s">
        <v>110</v>
      </c>
      <c r="L36" s="4" t="s">
        <v>91</v>
      </c>
      <c r="M36" s="4" t="s">
        <v>91</v>
      </c>
      <c r="N36" s="4" t="s">
        <v>56</v>
      </c>
      <c r="O36" s="4" t="s">
        <v>56</v>
      </c>
      <c r="P36" s="4" t="s">
        <v>56</v>
      </c>
      <c r="Q36" s="4" t="s">
        <v>56</v>
      </c>
      <c r="R36" s="4" t="s">
        <v>55</v>
      </c>
      <c r="S36" s="4" t="s">
        <v>56</v>
      </c>
      <c r="T36" s="4" t="s">
        <v>335</v>
      </c>
      <c r="U36" s="4" t="s">
        <v>342</v>
      </c>
    </row>
    <row r="37" spans="1:21" ht="43.5" hidden="1" x14ac:dyDescent="0.35">
      <c r="A37" s="10" t="s">
        <v>83</v>
      </c>
      <c r="B37" s="10" t="s">
        <v>343</v>
      </c>
      <c r="C37" s="2" t="s">
        <v>344</v>
      </c>
      <c r="D37" s="4" t="s">
        <v>104</v>
      </c>
      <c r="E37" s="4" t="s">
        <v>49</v>
      </c>
      <c r="F37" s="4" t="s">
        <v>62</v>
      </c>
      <c r="G37" s="4" t="s">
        <v>62</v>
      </c>
      <c r="H37" s="4" t="s">
        <v>79</v>
      </c>
      <c r="I37" s="4" t="s">
        <v>79</v>
      </c>
      <c r="J37" s="4" t="s">
        <v>53</v>
      </c>
      <c r="K37" s="4" t="s">
        <v>110</v>
      </c>
      <c r="L37" s="4"/>
      <c r="M37" s="4" t="s">
        <v>91</v>
      </c>
      <c r="N37" s="4" t="s">
        <v>56</v>
      </c>
      <c r="O37" s="4" t="s">
        <v>56</v>
      </c>
      <c r="P37" s="4" t="s">
        <v>56</v>
      </c>
      <c r="Q37" s="4" t="s">
        <v>56</v>
      </c>
      <c r="R37" s="4" t="s">
        <v>55</v>
      </c>
      <c r="S37" s="4" t="s">
        <v>56</v>
      </c>
      <c r="T37" s="4" t="s">
        <v>335</v>
      </c>
      <c r="U37" s="7" t="s">
        <v>345</v>
      </c>
    </row>
    <row r="38" spans="1:21" hidden="1" x14ac:dyDescent="0.35">
      <c r="A38" s="10" t="s">
        <v>153</v>
      </c>
      <c r="B38" s="10" t="s">
        <v>158</v>
      </c>
      <c r="C38" s="2" t="s">
        <v>159</v>
      </c>
      <c r="D38" s="4" t="s">
        <v>48</v>
      </c>
      <c r="E38" s="4" t="s">
        <v>49</v>
      </c>
      <c r="F38" s="9" t="s">
        <v>50</v>
      </c>
      <c r="G38" s="9" t="s">
        <v>160</v>
      </c>
      <c r="H38" s="9" t="s">
        <v>79</v>
      </c>
      <c r="I38" s="9" t="s">
        <v>52</v>
      </c>
      <c r="J38" s="9" t="s">
        <v>52</v>
      </c>
      <c r="K38" s="9" t="s">
        <v>110</v>
      </c>
      <c r="L38" s="9" t="s">
        <v>76</v>
      </c>
      <c r="M38" s="9" t="s">
        <v>76</v>
      </c>
      <c r="N38" s="9" t="s">
        <v>56</v>
      </c>
      <c r="O38" s="9"/>
      <c r="P38" s="9" t="s">
        <v>56</v>
      </c>
      <c r="Q38" s="9" t="s">
        <v>56</v>
      </c>
      <c r="R38" s="9" t="s">
        <v>55</v>
      </c>
      <c r="S38" s="9" t="s">
        <v>55</v>
      </c>
      <c r="T38" s="2"/>
      <c r="U38" s="2"/>
    </row>
    <row r="39" spans="1:21" ht="43.5" hidden="1" x14ac:dyDescent="0.35">
      <c r="A39" s="10" t="s">
        <v>356</v>
      </c>
      <c r="B39" s="1" t="s">
        <v>360</v>
      </c>
      <c r="C39" s="2" t="s">
        <v>624</v>
      </c>
      <c r="D39" t="s">
        <v>48</v>
      </c>
      <c r="E39" t="s">
        <v>49</v>
      </c>
      <c r="F39" t="s">
        <v>98</v>
      </c>
      <c r="G39" t="s">
        <v>139</v>
      </c>
      <c r="H39" t="s">
        <v>63</v>
      </c>
      <c r="I39" t="s">
        <v>63</v>
      </c>
      <c r="J39" t="s">
        <v>63</v>
      </c>
      <c r="K39" t="s">
        <v>69</v>
      </c>
      <c r="L39" t="s">
        <v>76</v>
      </c>
      <c r="M39" t="s">
        <v>53</v>
      </c>
      <c r="N39" t="s">
        <v>55</v>
      </c>
      <c r="O39" t="s">
        <v>55</v>
      </c>
      <c r="P39" t="s">
        <v>56</v>
      </c>
      <c r="Q39" t="s">
        <v>55</v>
      </c>
      <c r="R39" t="s">
        <v>55</v>
      </c>
      <c r="S39" t="s">
        <v>55</v>
      </c>
      <c r="T39" t="s">
        <v>92</v>
      </c>
      <c r="U39" s="2"/>
    </row>
    <row r="40" spans="1:21" ht="43.5" hidden="1" x14ac:dyDescent="0.35">
      <c r="A40" s="10" t="s">
        <v>356</v>
      </c>
      <c r="B40" s="1" t="s">
        <v>362</v>
      </c>
      <c r="C40" s="2" t="s">
        <v>625</v>
      </c>
      <c r="D40" t="s">
        <v>87</v>
      </c>
      <c r="E40" t="s">
        <v>49</v>
      </c>
      <c r="F40" t="s">
        <v>50</v>
      </c>
      <c r="G40" t="s">
        <v>107</v>
      </c>
      <c r="H40" t="s">
        <v>63</v>
      </c>
      <c r="I40" t="s">
        <v>63</v>
      </c>
      <c r="J40" t="s">
        <v>63</v>
      </c>
      <c r="K40" t="s">
        <v>69</v>
      </c>
      <c r="L40" t="s">
        <v>76</v>
      </c>
      <c r="M40" t="s">
        <v>53</v>
      </c>
      <c r="N40" t="s">
        <v>55</v>
      </c>
      <c r="O40" t="s">
        <v>55</v>
      </c>
      <c r="P40" t="s">
        <v>55</v>
      </c>
      <c r="Q40" t="s">
        <v>55</v>
      </c>
      <c r="R40" t="s">
        <v>55</v>
      </c>
      <c r="S40" t="s">
        <v>56</v>
      </c>
      <c r="T40" t="s">
        <v>57</v>
      </c>
      <c r="U40" s="2"/>
    </row>
    <row r="41" spans="1:21" ht="43.5" hidden="1" x14ac:dyDescent="0.35">
      <c r="A41" s="10" t="s">
        <v>356</v>
      </c>
      <c r="B41" s="10" t="s">
        <v>364</v>
      </c>
      <c r="C41" s="2" t="s">
        <v>626</v>
      </c>
      <c r="D41" t="s">
        <v>48</v>
      </c>
      <c r="E41" t="s">
        <v>49</v>
      </c>
      <c r="F41" t="s">
        <v>98</v>
      </c>
      <c r="G41" t="s">
        <v>139</v>
      </c>
      <c r="H41" t="s">
        <v>63</v>
      </c>
      <c r="I41" t="s">
        <v>52</v>
      </c>
      <c r="J41" t="s">
        <v>53</v>
      </c>
      <c r="K41" t="s">
        <v>69</v>
      </c>
      <c r="L41" t="s">
        <v>76</v>
      </c>
      <c r="M41" t="s">
        <v>53</v>
      </c>
      <c r="N41" t="s">
        <v>55</v>
      </c>
      <c r="O41" t="s">
        <v>55</v>
      </c>
      <c r="P41" t="s">
        <v>56</v>
      </c>
      <c r="Q41" t="s">
        <v>55</v>
      </c>
      <c r="R41" t="s">
        <v>55</v>
      </c>
      <c r="S41" t="s">
        <v>55</v>
      </c>
      <c r="T41" t="s">
        <v>92</v>
      </c>
      <c r="U41" s="2"/>
    </row>
    <row r="42" spans="1:21" ht="29" hidden="1" x14ac:dyDescent="0.35">
      <c r="A42" s="10" t="s">
        <v>356</v>
      </c>
      <c r="B42" s="1" t="s">
        <v>366</v>
      </c>
      <c r="C42" s="2" t="s">
        <v>627</v>
      </c>
      <c r="D42" t="s">
        <v>48</v>
      </c>
      <c r="E42" t="s">
        <v>49</v>
      </c>
      <c r="F42" t="s">
        <v>74</v>
      </c>
      <c r="G42" t="s">
        <v>74</v>
      </c>
      <c r="H42" t="s">
        <v>63</v>
      </c>
      <c r="I42" t="s">
        <v>63</v>
      </c>
      <c r="J42" t="s">
        <v>63</v>
      </c>
      <c r="K42" t="s">
        <v>54</v>
      </c>
      <c r="L42" t="s">
        <v>76</v>
      </c>
      <c r="M42" t="s">
        <v>53</v>
      </c>
      <c r="N42" t="s">
        <v>55</v>
      </c>
      <c r="O42" t="s">
        <v>55</v>
      </c>
      <c r="P42" t="s">
        <v>56</v>
      </c>
      <c r="Q42" t="s">
        <v>55</v>
      </c>
      <c r="R42" t="s">
        <v>55</v>
      </c>
      <c r="S42" t="s">
        <v>56</v>
      </c>
      <c r="T42" t="s">
        <v>57</v>
      </c>
      <c r="U42" s="2" t="s">
        <v>368</v>
      </c>
    </row>
    <row r="43" spans="1:21" ht="72.5" hidden="1" x14ac:dyDescent="0.35">
      <c r="A43" s="10" t="s">
        <v>620</v>
      </c>
      <c r="B43" s="1" t="s">
        <v>81</v>
      </c>
      <c r="C43" s="4" t="s">
        <v>82</v>
      </c>
      <c r="D43" t="s">
        <v>48</v>
      </c>
      <c r="E43" t="s">
        <v>49</v>
      </c>
      <c r="F43" t="s">
        <v>62</v>
      </c>
      <c r="G43" t="s">
        <v>62</v>
      </c>
      <c r="H43" t="s">
        <v>52</v>
      </c>
      <c r="I43" t="s">
        <v>63</v>
      </c>
      <c r="J43" t="s">
        <v>53</v>
      </c>
      <c r="K43" t="s">
        <v>69</v>
      </c>
      <c r="L43" t="s">
        <v>76</v>
      </c>
      <c r="M43" t="s">
        <v>53</v>
      </c>
      <c r="N43" t="s">
        <v>55</v>
      </c>
      <c r="O43" t="s">
        <v>55</v>
      </c>
      <c r="P43" t="s">
        <v>56</v>
      </c>
      <c r="Q43" t="s">
        <v>56</v>
      </c>
      <c r="R43" t="s">
        <v>55</v>
      </c>
      <c r="S43" t="s">
        <v>56</v>
      </c>
      <c r="T43" s="40" t="s">
        <v>83</v>
      </c>
      <c r="U43" s="2" t="s">
        <v>84</v>
      </c>
    </row>
    <row r="44" spans="1:21" ht="29" hidden="1" x14ac:dyDescent="0.35">
      <c r="A44" s="10" t="s">
        <v>95</v>
      </c>
      <c r="B44" s="10" t="s">
        <v>116</v>
      </c>
      <c r="C44" s="2" t="s">
        <v>117</v>
      </c>
      <c r="D44" t="s">
        <v>104</v>
      </c>
      <c r="E44" t="s">
        <v>49</v>
      </c>
      <c r="F44" t="s">
        <v>50</v>
      </c>
      <c r="G44" t="s">
        <v>107</v>
      </c>
      <c r="H44" t="s">
        <v>63</v>
      </c>
      <c r="I44" t="s">
        <v>63</v>
      </c>
      <c r="J44" t="s">
        <v>52</v>
      </c>
      <c r="K44" t="s">
        <v>69</v>
      </c>
      <c r="L44" t="s">
        <v>76</v>
      </c>
      <c r="M44" t="s">
        <v>53</v>
      </c>
      <c r="N44" t="s">
        <v>55</v>
      </c>
      <c r="P44" t="s">
        <v>55</v>
      </c>
      <c r="Q44" t="s">
        <v>55</v>
      </c>
      <c r="R44" t="s">
        <v>56</v>
      </c>
      <c r="S44" t="s">
        <v>56</v>
      </c>
      <c r="T44" s="40"/>
      <c r="U44" s="8"/>
    </row>
    <row r="45" spans="1:21" ht="58" hidden="1" x14ac:dyDescent="0.35">
      <c r="A45" s="10" t="s">
        <v>92</v>
      </c>
      <c r="B45" s="10" t="s">
        <v>434</v>
      </c>
      <c r="C45" s="2" t="s">
        <v>171</v>
      </c>
      <c r="D45" s="4" t="s">
        <v>104</v>
      </c>
      <c r="E45" s="4" t="s">
        <v>49</v>
      </c>
      <c r="F45" s="4" t="s">
        <v>50</v>
      </c>
      <c r="G45" s="4" t="s">
        <v>160</v>
      </c>
      <c r="H45" s="4" t="s">
        <v>52</v>
      </c>
      <c r="I45" s="4" t="s">
        <v>52</v>
      </c>
      <c r="J45" s="4" t="s">
        <v>63</v>
      </c>
      <c r="K45" s="4" t="s">
        <v>69</v>
      </c>
      <c r="L45" s="4" t="s">
        <v>75</v>
      </c>
      <c r="M45" s="4" t="s">
        <v>91</v>
      </c>
      <c r="N45" s="4" t="s">
        <v>56</v>
      </c>
      <c r="O45" s="4" t="s">
        <v>56</v>
      </c>
      <c r="P45" s="4" t="s">
        <v>56</v>
      </c>
      <c r="Q45" s="4" t="s">
        <v>55</v>
      </c>
      <c r="R45" s="4" t="s">
        <v>55</v>
      </c>
      <c r="S45" s="4" t="s">
        <v>55</v>
      </c>
      <c r="T45" s="4" t="s">
        <v>172</v>
      </c>
      <c r="U45" s="2" t="s">
        <v>173</v>
      </c>
    </row>
    <row r="46" spans="1:21" ht="29" hidden="1" x14ac:dyDescent="0.35">
      <c r="A46" s="10" t="s">
        <v>92</v>
      </c>
      <c r="B46" s="1" t="s">
        <v>441</v>
      </c>
      <c r="C46" s="2" t="s">
        <v>182</v>
      </c>
      <c r="D46" t="s">
        <v>104</v>
      </c>
      <c r="E46" t="s">
        <v>49</v>
      </c>
      <c r="F46" t="s">
        <v>183</v>
      </c>
      <c r="G46" t="s">
        <v>160</v>
      </c>
      <c r="H46" t="s">
        <v>52</v>
      </c>
      <c r="I46" t="s">
        <v>52</v>
      </c>
      <c r="J46" t="s">
        <v>63</v>
      </c>
      <c r="K46" t="s">
        <v>110</v>
      </c>
      <c r="L46" t="s">
        <v>76</v>
      </c>
      <c r="M46" t="s">
        <v>91</v>
      </c>
      <c r="N46" t="s">
        <v>56</v>
      </c>
      <c r="O46" t="s">
        <v>56</v>
      </c>
      <c r="P46" t="s">
        <v>55</v>
      </c>
      <c r="Q46" t="s">
        <v>55</v>
      </c>
      <c r="R46" t="s">
        <v>55</v>
      </c>
      <c r="S46" t="s">
        <v>56</v>
      </c>
      <c r="T46" s="40"/>
      <c r="U46" s="8"/>
    </row>
    <row r="47" spans="1:21" ht="29" hidden="1" x14ac:dyDescent="0.35">
      <c r="A47" s="10" t="s">
        <v>92</v>
      </c>
      <c r="B47" s="10" t="s">
        <v>443</v>
      </c>
      <c r="C47" s="2" t="s">
        <v>185</v>
      </c>
      <c r="D47" t="s">
        <v>104</v>
      </c>
      <c r="E47" t="s">
        <v>49</v>
      </c>
      <c r="F47" t="s">
        <v>98</v>
      </c>
      <c r="G47" t="s">
        <v>160</v>
      </c>
      <c r="H47" t="s">
        <v>52</v>
      </c>
      <c r="I47" t="s">
        <v>52</v>
      </c>
      <c r="J47" t="s">
        <v>63</v>
      </c>
      <c r="K47" t="s">
        <v>110</v>
      </c>
      <c r="L47" t="s">
        <v>76</v>
      </c>
      <c r="M47" t="s">
        <v>91</v>
      </c>
      <c r="N47" t="s">
        <v>56</v>
      </c>
      <c r="O47" t="s">
        <v>56</v>
      </c>
      <c r="P47" t="s">
        <v>55</v>
      </c>
      <c r="Q47" t="s">
        <v>55</v>
      </c>
      <c r="R47" t="s">
        <v>55</v>
      </c>
      <c r="S47" t="s">
        <v>56</v>
      </c>
      <c r="T47" s="40"/>
      <c r="U47" s="2"/>
    </row>
    <row r="48" spans="1:21" ht="29" hidden="1" x14ac:dyDescent="0.35">
      <c r="A48" s="10" t="s">
        <v>92</v>
      </c>
      <c r="B48" s="1" t="s">
        <v>587</v>
      </c>
      <c r="C48" s="2" t="s">
        <v>187</v>
      </c>
      <c r="D48" t="s">
        <v>104</v>
      </c>
      <c r="E48" t="s">
        <v>49</v>
      </c>
      <c r="F48" t="s">
        <v>62</v>
      </c>
      <c r="G48" t="s">
        <v>160</v>
      </c>
      <c r="H48" t="s">
        <v>63</v>
      </c>
      <c r="I48" t="s">
        <v>53</v>
      </c>
      <c r="J48" t="s">
        <v>53</v>
      </c>
      <c r="K48" t="s">
        <v>69</v>
      </c>
      <c r="L48" t="s">
        <v>76</v>
      </c>
      <c r="M48" t="s">
        <v>91</v>
      </c>
      <c r="N48" t="s">
        <v>56</v>
      </c>
      <c r="O48" t="s">
        <v>56</v>
      </c>
      <c r="P48" t="s">
        <v>56</v>
      </c>
      <c r="Q48" t="s">
        <v>55</v>
      </c>
      <c r="R48" t="s">
        <v>55</v>
      </c>
      <c r="S48" t="s">
        <v>56</v>
      </c>
      <c r="T48" s="40" t="s">
        <v>188</v>
      </c>
      <c r="U48" s="2"/>
    </row>
    <row r="49" spans="1:21" ht="29" hidden="1" x14ac:dyDescent="0.35">
      <c r="A49" s="10" t="s">
        <v>92</v>
      </c>
      <c r="B49" s="1" t="s">
        <v>453</v>
      </c>
      <c r="C49" s="2" t="s">
        <v>190</v>
      </c>
      <c r="D49" t="s">
        <v>104</v>
      </c>
      <c r="E49" t="s">
        <v>49</v>
      </c>
      <c r="F49" t="s">
        <v>62</v>
      </c>
      <c r="G49" t="s">
        <v>177</v>
      </c>
      <c r="H49" t="s">
        <v>79</v>
      </c>
      <c r="I49" t="s">
        <v>52</v>
      </c>
      <c r="J49" t="s">
        <v>53</v>
      </c>
      <c r="K49" t="s">
        <v>69</v>
      </c>
      <c r="L49" t="s">
        <v>75</v>
      </c>
      <c r="M49" t="s">
        <v>91</v>
      </c>
      <c r="N49" t="s">
        <v>56</v>
      </c>
      <c r="O49" t="s">
        <v>56</v>
      </c>
      <c r="P49" t="s">
        <v>55</v>
      </c>
      <c r="Q49" t="s">
        <v>55</v>
      </c>
      <c r="R49" t="s">
        <v>55</v>
      </c>
      <c r="S49" t="s">
        <v>56</v>
      </c>
      <c r="T49" s="40" t="s">
        <v>191</v>
      </c>
      <c r="U49" s="2"/>
    </row>
    <row r="50" spans="1:21" ht="29" hidden="1" x14ac:dyDescent="0.35">
      <c r="A50" s="10" t="s">
        <v>92</v>
      </c>
      <c r="B50" s="10" t="s">
        <v>605</v>
      </c>
      <c r="C50" s="2" t="s">
        <v>194</v>
      </c>
      <c r="D50" t="s">
        <v>104</v>
      </c>
      <c r="E50" t="s">
        <v>49</v>
      </c>
      <c r="F50" t="s">
        <v>62</v>
      </c>
      <c r="G50" t="s">
        <v>177</v>
      </c>
      <c r="H50" t="s">
        <v>63</v>
      </c>
      <c r="I50" t="s">
        <v>53</v>
      </c>
      <c r="J50" t="s">
        <v>53</v>
      </c>
      <c r="K50" t="s">
        <v>54</v>
      </c>
      <c r="L50" t="s">
        <v>76</v>
      </c>
      <c r="M50" t="s">
        <v>76</v>
      </c>
      <c r="N50" t="s">
        <v>56</v>
      </c>
      <c r="O50" t="s">
        <v>56</v>
      </c>
      <c r="P50" t="s">
        <v>55</v>
      </c>
      <c r="Q50" t="s">
        <v>55</v>
      </c>
      <c r="R50" t="s">
        <v>55</v>
      </c>
      <c r="S50" t="s">
        <v>55</v>
      </c>
      <c r="T50" s="40" t="s">
        <v>83</v>
      </c>
      <c r="U50" s="8"/>
    </row>
    <row r="51" spans="1:21" hidden="1" x14ac:dyDescent="0.35">
      <c r="A51" s="10" t="s">
        <v>628</v>
      </c>
      <c r="B51" s="10" t="s">
        <v>297</v>
      </c>
      <c r="C51" s="2" t="s">
        <v>629</v>
      </c>
      <c r="D51" s="4" t="s">
        <v>87</v>
      </c>
      <c r="E51" s="4" t="s">
        <v>49</v>
      </c>
      <c r="F51" s="4" t="s">
        <v>62</v>
      </c>
      <c r="G51" s="4" t="s">
        <v>177</v>
      </c>
      <c r="H51" s="4" t="s">
        <v>52</v>
      </c>
      <c r="I51" s="4" t="s">
        <v>53</v>
      </c>
      <c r="J51" s="4" t="s">
        <v>63</v>
      </c>
      <c r="K51" s="4" t="s">
        <v>69</v>
      </c>
      <c r="L51" s="4" t="s">
        <v>299</v>
      </c>
      <c r="M51" s="4" t="s">
        <v>53</v>
      </c>
      <c r="N51" s="4" t="s">
        <v>55</v>
      </c>
      <c r="O51" s="4"/>
      <c r="P51" s="4" t="s">
        <v>56</v>
      </c>
      <c r="Q51" s="4" t="s">
        <v>55</v>
      </c>
      <c r="R51" s="4" t="s">
        <v>55</v>
      </c>
      <c r="S51" s="4" t="s">
        <v>56</v>
      </c>
      <c r="T51" s="4"/>
      <c r="U51" s="2"/>
    </row>
    <row r="52" spans="1:21" hidden="1" x14ac:dyDescent="0.35">
      <c r="A52" s="10" t="s">
        <v>628</v>
      </c>
      <c r="B52" s="1" t="s">
        <v>301</v>
      </c>
      <c r="C52" s="2" t="s">
        <v>302</v>
      </c>
      <c r="D52" t="s">
        <v>87</v>
      </c>
      <c r="E52" t="s">
        <v>49</v>
      </c>
      <c r="F52" t="s">
        <v>50</v>
      </c>
      <c r="G52" t="s">
        <v>303</v>
      </c>
      <c r="H52" t="s">
        <v>52</v>
      </c>
      <c r="I52" t="s">
        <v>63</v>
      </c>
      <c r="J52" t="s">
        <v>79</v>
      </c>
      <c r="K52" t="s">
        <v>69</v>
      </c>
      <c r="L52" t="s">
        <v>53</v>
      </c>
      <c r="M52" t="s">
        <v>53</v>
      </c>
      <c r="N52" t="s">
        <v>55</v>
      </c>
      <c r="P52" t="s">
        <v>56</v>
      </c>
      <c r="Q52" t="s">
        <v>55</v>
      </c>
      <c r="R52" t="s">
        <v>55</v>
      </c>
      <c r="S52" t="s">
        <v>56</v>
      </c>
      <c r="T52" s="40"/>
      <c r="U52" s="2"/>
    </row>
    <row r="53" spans="1:21" ht="87" hidden="1" x14ac:dyDescent="0.35">
      <c r="A53" s="10" t="s">
        <v>146</v>
      </c>
      <c r="B53" s="10" t="s">
        <v>107</v>
      </c>
      <c r="C53" s="2" t="s">
        <v>320</v>
      </c>
      <c r="D53" t="s">
        <v>104</v>
      </c>
      <c r="E53" t="s">
        <v>49</v>
      </c>
      <c r="F53" t="s">
        <v>73</v>
      </c>
      <c r="H53" t="s">
        <v>52</v>
      </c>
      <c r="I53" t="s">
        <v>52</v>
      </c>
      <c r="J53" t="s">
        <v>63</v>
      </c>
      <c r="K53" t="s">
        <v>69</v>
      </c>
      <c r="L53" t="s">
        <v>76</v>
      </c>
      <c r="M53" t="s">
        <v>76</v>
      </c>
      <c r="N53" t="s">
        <v>55</v>
      </c>
      <c r="O53" t="s">
        <v>56</v>
      </c>
      <c r="P53" t="s">
        <v>55</v>
      </c>
      <c r="Q53" t="s">
        <v>55</v>
      </c>
      <c r="R53" t="s">
        <v>55</v>
      </c>
      <c r="S53" t="s">
        <v>56</v>
      </c>
      <c r="T53" s="40" t="s">
        <v>135</v>
      </c>
      <c r="U53" s="2"/>
    </row>
    <row r="54" spans="1:21" hidden="1" x14ac:dyDescent="0.35">
      <c r="A54" s="10" t="s">
        <v>135</v>
      </c>
      <c r="B54" s="10" t="s">
        <v>144</v>
      </c>
      <c r="C54" s="2" t="s">
        <v>145</v>
      </c>
      <c r="D54" t="s">
        <v>104</v>
      </c>
      <c r="E54" t="s">
        <v>49</v>
      </c>
      <c r="F54" t="s">
        <v>73</v>
      </c>
      <c r="H54" t="s">
        <v>52</v>
      </c>
      <c r="I54" t="s">
        <v>63</v>
      </c>
      <c r="J54" t="s">
        <v>53</v>
      </c>
      <c r="K54" t="s">
        <v>69</v>
      </c>
      <c r="L54" t="s">
        <v>76</v>
      </c>
      <c r="M54" t="s">
        <v>53</v>
      </c>
      <c r="N54" t="s">
        <v>55</v>
      </c>
      <c r="O54" t="s">
        <v>56</v>
      </c>
      <c r="P54" t="s">
        <v>55</v>
      </c>
      <c r="Q54" t="s">
        <v>55</v>
      </c>
      <c r="R54" t="s">
        <v>55</v>
      </c>
      <c r="S54" t="s">
        <v>56</v>
      </c>
      <c r="T54" s="40" t="s">
        <v>146</v>
      </c>
      <c r="U54" s="2"/>
    </row>
    <row r="55" spans="1:21" ht="58" hidden="1" x14ac:dyDescent="0.35">
      <c r="A55" s="10" t="s">
        <v>135</v>
      </c>
      <c r="B55" s="1" t="s">
        <v>147</v>
      </c>
      <c r="C55" s="2" t="s">
        <v>148</v>
      </c>
      <c r="D55" t="s">
        <v>104</v>
      </c>
      <c r="E55" t="s">
        <v>49</v>
      </c>
      <c r="F55" t="s">
        <v>73</v>
      </c>
      <c r="H55" t="s">
        <v>52</v>
      </c>
      <c r="I55" t="s">
        <v>63</v>
      </c>
      <c r="J55" t="s">
        <v>53</v>
      </c>
      <c r="K55" t="s">
        <v>69</v>
      </c>
      <c r="L55" t="s">
        <v>76</v>
      </c>
      <c r="M55" t="s">
        <v>53</v>
      </c>
      <c r="N55" t="s">
        <v>55</v>
      </c>
      <c r="O55" t="s">
        <v>56</v>
      </c>
      <c r="P55" t="s">
        <v>55</v>
      </c>
      <c r="Q55" t="s">
        <v>55</v>
      </c>
      <c r="R55" t="s">
        <v>55</v>
      </c>
      <c r="S55" t="s">
        <v>56</v>
      </c>
      <c r="T55" s="40" t="s">
        <v>146</v>
      </c>
      <c r="U55" s="2"/>
    </row>
    <row r="56" spans="1:21" ht="72.5" hidden="1" x14ac:dyDescent="0.35">
      <c r="A56" s="10" t="s">
        <v>398</v>
      </c>
      <c r="B56" s="10" t="s">
        <v>399</v>
      </c>
      <c r="C56" s="2" t="s">
        <v>400</v>
      </c>
      <c r="D56" s="4" t="s">
        <v>151</v>
      </c>
      <c r="E56" s="4" t="s">
        <v>49</v>
      </c>
      <c r="F56" s="4" t="s">
        <v>62</v>
      </c>
      <c r="G56" s="4" t="s">
        <v>62</v>
      </c>
      <c r="H56" s="4" t="s">
        <v>63</v>
      </c>
      <c r="I56" s="4" t="s">
        <v>63</v>
      </c>
      <c r="J56" s="4" t="s">
        <v>53</v>
      </c>
      <c r="K56" s="4" t="s">
        <v>54</v>
      </c>
      <c r="L56" s="4" t="s">
        <v>76</v>
      </c>
      <c r="M56" s="4" t="s">
        <v>76</v>
      </c>
      <c r="N56" s="4" t="s">
        <v>55</v>
      </c>
      <c r="O56" s="4" t="s">
        <v>55</v>
      </c>
      <c r="P56" s="4" t="s">
        <v>56</v>
      </c>
      <c r="Q56" s="4" t="s">
        <v>55</v>
      </c>
      <c r="R56" s="4" t="s">
        <v>55</v>
      </c>
      <c r="S56" s="4" t="s">
        <v>55</v>
      </c>
      <c r="T56" s="4"/>
      <c r="U56" s="8"/>
    </row>
    <row r="57" spans="1:21" ht="87" hidden="1" x14ac:dyDescent="0.35">
      <c r="A57" s="10" t="s">
        <v>398</v>
      </c>
      <c r="B57" s="10" t="s">
        <v>401</v>
      </c>
      <c r="C57" s="2" t="s">
        <v>402</v>
      </c>
      <c r="D57" t="s">
        <v>104</v>
      </c>
      <c r="E57" t="s">
        <v>49</v>
      </c>
      <c r="F57" t="s">
        <v>62</v>
      </c>
      <c r="G57" t="s">
        <v>62</v>
      </c>
      <c r="H57" t="s">
        <v>63</v>
      </c>
      <c r="I57" t="s">
        <v>52</v>
      </c>
      <c r="J57" t="s">
        <v>53</v>
      </c>
      <c r="K57" t="s">
        <v>69</v>
      </c>
      <c r="L57" t="s">
        <v>75</v>
      </c>
      <c r="M57" t="s">
        <v>76</v>
      </c>
      <c r="N57" t="s">
        <v>55</v>
      </c>
      <c r="O57" t="s">
        <v>55</v>
      </c>
      <c r="P57" t="s">
        <v>56</v>
      </c>
      <c r="Q57" t="s">
        <v>55</v>
      </c>
      <c r="R57" t="s">
        <v>55</v>
      </c>
      <c r="S57" t="s">
        <v>55</v>
      </c>
      <c r="T57" s="40"/>
      <c r="U57" s="2"/>
    </row>
    <row r="58" spans="1:21" ht="43.5" hidden="1" x14ac:dyDescent="0.35">
      <c r="A58" s="10" t="s">
        <v>630</v>
      </c>
      <c r="B58" s="10" t="s">
        <v>291</v>
      </c>
      <c r="C58" s="2" t="s">
        <v>292</v>
      </c>
      <c r="D58" s="4" t="s">
        <v>48</v>
      </c>
      <c r="E58" s="4" t="s">
        <v>49</v>
      </c>
      <c r="F58" s="4" t="s">
        <v>62</v>
      </c>
      <c r="G58" s="4" t="s">
        <v>62</v>
      </c>
      <c r="H58" s="4" t="s">
        <v>63</v>
      </c>
      <c r="I58" s="4" t="s">
        <v>52</v>
      </c>
      <c r="J58" s="4" t="s">
        <v>52</v>
      </c>
      <c r="K58" s="4" t="s">
        <v>54</v>
      </c>
      <c r="L58" s="4" t="s">
        <v>76</v>
      </c>
      <c r="M58" s="4" t="s">
        <v>53</v>
      </c>
      <c r="N58" s="4" t="s">
        <v>55</v>
      </c>
      <c r="O58" s="4" t="s">
        <v>55</v>
      </c>
      <c r="P58" s="4" t="s">
        <v>56</v>
      </c>
      <c r="Q58" s="4" t="s">
        <v>55</v>
      </c>
      <c r="R58" s="4" t="s">
        <v>55</v>
      </c>
      <c r="S58" s="4" t="s">
        <v>56</v>
      </c>
      <c r="T58" s="4"/>
      <c r="U58" s="2"/>
    </row>
    <row r="59" spans="1:21" ht="29" hidden="1" x14ac:dyDescent="0.35">
      <c r="A59" s="10" t="s">
        <v>146</v>
      </c>
      <c r="B59" s="1" t="s">
        <v>129</v>
      </c>
      <c r="C59" s="2" t="s">
        <v>318</v>
      </c>
      <c r="D59" t="s">
        <v>104</v>
      </c>
      <c r="E59" t="s">
        <v>138</v>
      </c>
      <c r="F59" t="s">
        <v>73</v>
      </c>
      <c r="G59" t="s">
        <v>74</v>
      </c>
      <c r="H59" t="s">
        <v>52</v>
      </c>
      <c r="I59" t="s">
        <v>52</v>
      </c>
      <c r="J59" t="s">
        <v>63</v>
      </c>
      <c r="K59" t="s">
        <v>110</v>
      </c>
      <c r="L59" t="s">
        <v>76</v>
      </c>
      <c r="M59" t="s">
        <v>76</v>
      </c>
      <c r="N59" t="s">
        <v>55</v>
      </c>
      <c r="P59" t="s">
        <v>56</v>
      </c>
      <c r="Q59" t="s">
        <v>55</v>
      </c>
      <c r="R59" t="s">
        <v>55</v>
      </c>
      <c r="S59" t="s">
        <v>56</v>
      </c>
      <c r="T59" s="40"/>
      <c r="U59" s="8"/>
    </row>
    <row r="60" spans="1:21" ht="101.5" hidden="1" x14ac:dyDescent="0.35">
      <c r="A60" s="10" t="s">
        <v>630</v>
      </c>
      <c r="B60" s="10" t="s">
        <v>293</v>
      </c>
      <c r="C60" s="2" t="s">
        <v>294</v>
      </c>
      <c r="D60" t="s">
        <v>104</v>
      </c>
      <c r="F60" t="s">
        <v>62</v>
      </c>
      <c r="G60" t="s">
        <v>62</v>
      </c>
      <c r="H60" t="s">
        <v>63</v>
      </c>
      <c r="I60" t="s">
        <v>52</v>
      </c>
      <c r="J60" t="s">
        <v>52</v>
      </c>
      <c r="K60" t="s">
        <v>54</v>
      </c>
      <c r="L60" t="s">
        <v>76</v>
      </c>
      <c r="M60" t="s">
        <v>53</v>
      </c>
      <c r="N60" t="s">
        <v>55</v>
      </c>
      <c r="O60" t="s">
        <v>55</v>
      </c>
      <c r="P60" t="s">
        <v>56</v>
      </c>
      <c r="Q60" t="s">
        <v>55</v>
      </c>
      <c r="R60" t="s">
        <v>55</v>
      </c>
      <c r="S60" t="s">
        <v>56</v>
      </c>
      <c r="T60" s="40"/>
      <c r="U60" s="2" t="s">
        <v>295</v>
      </c>
    </row>
    <row r="61" spans="1:21" x14ac:dyDescent="0.35">
      <c r="B61" s="1"/>
      <c r="T61" s="40"/>
    </row>
  </sheetData>
  <autoFilter ref="A1:U60" xr:uid="{5CFFAB09-E57E-4E5A-965A-F8982AB48129}">
    <filterColumn colId="4">
      <filters>
        <filter val="1_HIGH &lt;5 years"/>
      </filters>
    </filterColumn>
  </autoFilter>
  <sortState xmlns:xlrd2="http://schemas.microsoft.com/office/spreadsheetml/2017/richdata2" ref="A2:U61">
    <sortCondition ref="E2:E61"/>
  </sortState>
  <pageMargins left="0.7" right="0.7" top="0.75" bottom="0.75" header="0.3" footer="0.3"/>
  <pageSetup scale="35" fitToHeight="0" orientation="landscape" r:id="rId1"/>
  <rowBreaks count="1" manualBreakCount="1">
    <brk id="27" max="16383" man="1"/>
  </rowBreaks>
  <extLst>
    <ext xmlns:x14="http://schemas.microsoft.com/office/spreadsheetml/2009/9/main" uri="{CCE6A557-97BC-4b89-ADB6-D9C93CAAB3DF}">
      <x14:dataValidations xmlns:xm="http://schemas.microsoft.com/office/excel/2006/main" count="17">
        <x14:dataValidation type="list" allowBlank="1" showInputMessage="1" showErrorMessage="1" xr:uid="{69719393-681C-46A5-A6B1-17E83330C2FD}">
          <x14:formula1>
            <xm:f>'DATA VALIDATION LIST'!$L$4:$L$5</xm:f>
          </x14:formula1>
          <xm:sqref>O2:O60</xm:sqref>
        </x14:dataValidation>
        <x14:dataValidation type="list" allowBlank="1" showInputMessage="1" xr:uid="{CF7E8935-EFD1-4766-A618-9AFA00E8B23D}">
          <x14:formula1>
            <xm:f>'DATA VALIDATION LIST'!$Q$4:$Q$17</xm:f>
          </x14:formula1>
          <xm:sqref>T2:T60</xm:sqref>
        </x14:dataValidation>
        <x14:dataValidation type="list" allowBlank="1" showInputMessage="1" showErrorMessage="1" xr:uid="{670DC4F0-BDB0-4CDA-A026-3F8A7B8BCA02}">
          <x14:formula1>
            <xm:f>'DATA VALIDATION LIST'!$P$4:$P$5</xm:f>
          </x14:formula1>
          <xm:sqref>S2:S60</xm:sqref>
        </x14:dataValidation>
        <x14:dataValidation type="list" allowBlank="1" showInputMessage="1" showErrorMessage="1" xr:uid="{8989E0BB-446C-4B56-8F5A-9F5DA9F3F326}">
          <x14:formula1>
            <xm:f>'DATA VALIDATION LIST'!$N$4:$N$5</xm:f>
          </x14:formula1>
          <xm:sqref>Q2:Q60</xm:sqref>
        </x14:dataValidation>
        <x14:dataValidation type="list" allowBlank="1" showInputMessage="1" showErrorMessage="1" xr:uid="{24D887D0-EAF1-4E3A-BC91-04BA58A45782}">
          <x14:formula1>
            <xm:f>'DATA VALIDATION LIST'!$M$4:$M$5</xm:f>
          </x14:formula1>
          <xm:sqref>P2:P60</xm:sqref>
        </x14:dataValidation>
        <x14:dataValidation type="list" allowBlank="1" showInputMessage="1" showErrorMessage="1" xr:uid="{32377185-7BA2-4C73-9119-8421A6CCB155}">
          <x14:formula1>
            <xm:f>'DATA VALIDATION LIST'!$I$4:$I$8</xm:f>
          </x14:formula1>
          <xm:sqref>L2:L60</xm:sqref>
        </x14:dataValidation>
        <x14:dataValidation type="list" allowBlank="1" showInputMessage="1" showErrorMessage="1" xr:uid="{D169E2B2-0374-4184-A7BA-CAD41667B410}">
          <x14:formula1>
            <xm:f>'DATA VALIDATION LIST'!$J$4:$J$7</xm:f>
          </x14:formula1>
          <xm:sqref>M2:M60</xm:sqref>
        </x14:dataValidation>
        <x14:dataValidation type="list" allowBlank="1" showInputMessage="1" showErrorMessage="1" xr:uid="{8F8934A1-830D-412E-A7AB-EE6D63401739}">
          <x14:formula1>
            <xm:f>'DATA VALIDATION LIST'!$H$4:$H$7</xm:f>
          </x14:formula1>
          <xm:sqref>K2:K60</xm:sqref>
        </x14:dataValidation>
        <x14:dataValidation type="list" allowBlank="1" showInputMessage="1" showErrorMessage="1" xr:uid="{9CEDE55B-B697-40AE-9E30-AA1FFC6C9EEF}">
          <x14:formula1>
            <xm:f>'DATA VALIDATION LIST'!$G$4:$G$7</xm:f>
          </x14:formula1>
          <xm:sqref>J2:J60</xm:sqref>
        </x14:dataValidation>
        <x14:dataValidation type="list" allowBlank="1" showInputMessage="1" showErrorMessage="1" xr:uid="{4D56A9EE-B24D-4666-ADC6-EBEB9FA7C699}">
          <x14:formula1>
            <xm:f>'DATA VALIDATION LIST'!$F$4:$F$7</xm:f>
          </x14:formula1>
          <xm:sqref>I2:I60</xm:sqref>
        </x14:dataValidation>
        <x14:dataValidation type="list" allowBlank="1" showInputMessage="1" showErrorMessage="1" xr:uid="{4F8D3F76-C78A-4D9E-AB56-AD39669D46F0}">
          <x14:formula1>
            <xm:f>'DATA VALIDATION LIST'!$E$4:$E$7</xm:f>
          </x14:formula1>
          <xm:sqref>H2:H60</xm:sqref>
        </x14:dataValidation>
        <x14:dataValidation type="list" allowBlank="1" showInputMessage="1" showErrorMessage="1" xr:uid="{B503725A-1C8C-4FE8-88FD-50EFBD7FFEAE}">
          <x14:formula1>
            <xm:f>'DATA VALIDATION LIST'!$D$4:$D$16</xm:f>
          </x14:formula1>
          <xm:sqref>G2:G60</xm:sqref>
        </x14:dataValidation>
        <x14:dataValidation type="list" allowBlank="1" showInputMessage="1" showErrorMessage="1" xr:uid="{312F2F0A-0CB0-477E-A04E-FD32FC0014E3}">
          <x14:formula1>
            <xm:f>'DATA VALIDATION LIST'!$C$4:$C$10</xm:f>
          </x14:formula1>
          <xm:sqref>F2:F60</xm:sqref>
        </x14:dataValidation>
        <x14:dataValidation type="list" allowBlank="1" showInputMessage="1" showErrorMessage="1" promptTitle="DROPDOWN" prompt="SELECT ONE" xr:uid="{AC900487-237C-47F7-BD1F-0DD6FB053540}">
          <x14:formula1>
            <xm:f>'DATA VALIDATION LIST'!$B$4:$B$9</xm:f>
          </x14:formula1>
          <xm:sqref>E2:E60</xm:sqref>
        </x14:dataValidation>
        <x14:dataValidation type="list" allowBlank="1" showInputMessage="1" showErrorMessage="1" xr:uid="{E9B806FD-80A0-4A5E-AD1F-B6BB8167FEF1}">
          <x14:formula1>
            <xm:f>'DATA VALIDATION LIST'!$A$4:$A$7</xm:f>
          </x14:formula1>
          <xm:sqref>D2:D60</xm:sqref>
        </x14:dataValidation>
        <x14:dataValidation type="list" allowBlank="1" showInputMessage="1" showErrorMessage="1" xr:uid="{61C2DABE-00F5-482D-B233-E4ECE50D8ACC}">
          <x14:formula1>
            <xm:f>'DATA VALIDATION LIST'!$O$4:$O$5</xm:f>
          </x14:formula1>
          <xm:sqref>R2:R60</xm:sqref>
        </x14:dataValidation>
        <x14:dataValidation type="list" allowBlank="1" showInputMessage="1" showErrorMessage="1" xr:uid="{12BC24ED-ED28-48C5-9777-11AAE59021DE}">
          <x14:formula1>
            <xm:f>'DATA VALIDATION LIST'!#REF!</xm:f>
          </x14:formula1>
          <xm:sqref>N2:N60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F3F05-CBAD-4BD0-8302-508CBE9366D4}">
  <sheetPr codeName="Sheet3"/>
  <dimension ref="A1:Q34"/>
  <sheetViews>
    <sheetView zoomScale="120" zoomScaleNormal="120" workbookViewId="0">
      <selection activeCell="B4" sqref="B4:B8"/>
    </sheetView>
  </sheetViews>
  <sheetFormatPr defaultRowHeight="14.5" x14ac:dyDescent="0.35"/>
  <cols>
    <col min="1" max="1" width="25" customWidth="1"/>
    <col min="2" max="2" width="21.7265625" customWidth="1"/>
    <col min="3" max="3" width="18.54296875" customWidth="1"/>
    <col min="4" max="4" width="22.81640625" customWidth="1"/>
    <col min="5" max="5" width="20.1796875" customWidth="1"/>
    <col min="6" max="6" width="14.1796875" customWidth="1"/>
    <col min="7" max="7" width="14" customWidth="1"/>
    <col min="8" max="8" width="16" customWidth="1"/>
    <col min="9" max="9" width="21.1796875" customWidth="1"/>
    <col min="10" max="10" width="21" customWidth="1"/>
    <col min="11" max="12" width="16.81640625" customWidth="1"/>
    <col min="13" max="13" width="13" customWidth="1"/>
    <col min="14" max="14" width="14" customWidth="1"/>
    <col min="15" max="15" width="13.453125" customWidth="1"/>
    <col min="16" max="16" width="11" customWidth="1"/>
    <col min="17" max="17" width="31.453125" customWidth="1"/>
  </cols>
  <sheetData>
    <row r="1" spans="1:17" s="20" customFormat="1" ht="34.9" customHeight="1" x14ac:dyDescent="0.3">
      <c r="A1" s="19" t="s">
        <v>15</v>
      </c>
      <c r="C1" s="21" t="s">
        <v>631</v>
      </c>
      <c r="D1" s="21" t="s">
        <v>632</v>
      </c>
      <c r="E1" s="19" t="s">
        <v>633</v>
      </c>
      <c r="F1" s="21"/>
      <c r="I1" s="19" t="s">
        <v>634</v>
      </c>
      <c r="J1" s="155" t="s">
        <v>635</v>
      </c>
      <c r="K1" s="155"/>
      <c r="L1" s="21"/>
    </row>
    <row r="2" spans="1:17" ht="15" thickBot="1" x14ac:dyDescent="0.4">
      <c r="B2" s="11"/>
      <c r="C2" s="11"/>
      <c r="D2" s="11"/>
      <c r="E2" s="11"/>
      <c r="F2" s="11"/>
      <c r="G2" s="11"/>
      <c r="H2" s="11"/>
      <c r="I2" s="11"/>
      <c r="J2" s="18"/>
      <c r="K2" s="19" t="s">
        <v>636</v>
      </c>
      <c r="L2" s="19"/>
      <c r="M2" s="11"/>
      <c r="N2" s="11"/>
      <c r="O2" s="11"/>
      <c r="P2" s="11"/>
      <c r="Q2" s="11"/>
    </row>
    <row r="3" spans="1:17" ht="44" thickBot="1" x14ac:dyDescent="0.4">
      <c r="A3" s="13" t="s">
        <v>637</v>
      </c>
      <c r="B3" s="13" t="s">
        <v>27</v>
      </c>
      <c r="C3" s="14" t="s">
        <v>28</v>
      </c>
      <c r="D3" s="14" t="s">
        <v>29</v>
      </c>
      <c r="E3" s="14" t="s">
        <v>30</v>
      </c>
      <c r="F3" s="14" t="s">
        <v>31</v>
      </c>
      <c r="G3" s="14" t="s">
        <v>32</v>
      </c>
      <c r="H3" s="14" t="s">
        <v>33</v>
      </c>
      <c r="I3" s="14" t="s">
        <v>638</v>
      </c>
      <c r="J3" s="14" t="s">
        <v>35</v>
      </c>
      <c r="K3" s="14" t="s">
        <v>36</v>
      </c>
      <c r="L3" s="14" t="s">
        <v>639</v>
      </c>
      <c r="M3" s="14" t="s">
        <v>38</v>
      </c>
      <c r="N3" s="14" t="s">
        <v>39</v>
      </c>
      <c r="O3" s="14" t="s">
        <v>40</v>
      </c>
      <c r="P3" s="14" t="s">
        <v>41</v>
      </c>
      <c r="Q3" s="15" t="s">
        <v>42</v>
      </c>
    </row>
    <row r="4" spans="1:17" ht="16.149999999999999" customHeight="1" x14ac:dyDescent="0.35">
      <c r="A4" t="s">
        <v>151</v>
      </c>
      <c r="B4" s="22" t="s">
        <v>198</v>
      </c>
      <c r="C4" s="3" t="s">
        <v>62</v>
      </c>
      <c r="D4" s="3" t="s">
        <v>62</v>
      </c>
      <c r="E4" s="3" t="s">
        <v>68</v>
      </c>
      <c r="F4" s="3" t="s">
        <v>63</v>
      </c>
      <c r="G4" s="3" t="s">
        <v>63</v>
      </c>
      <c r="H4" s="3" t="s">
        <v>54</v>
      </c>
      <c r="I4" s="3" t="s">
        <v>76</v>
      </c>
      <c r="J4" s="3" t="s">
        <v>76</v>
      </c>
      <c r="K4" s="12" t="s">
        <v>63</v>
      </c>
      <c r="L4" s="3" t="s">
        <v>56</v>
      </c>
      <c r="M4" s="3" t="s">
        <v>56</v>
      </c>
      <c r="N4" s="3" t="s">
        <v>56</v>
      </c>
      <c r="O4" s="3" t="s">
        <v>56</v>
      </c>
      <c r="P4" s="3" t="s">
        <v>56</v>
      </c>
      <c r="Q4" s="16" t="s">
        <v>83</v>
      </c>
    </row>
    <row r="5" spans="1:17" ht="16.149999999999999" customHeight="1" x14ac:dyDescent="0.35">
      <c r="A5" t="s">
        <v>48</v>
      </c>
      <c r="B5" s="22" t="s">
        <v>61</v>
      </c>
      <c r="C5" s="3" t="s">
        <v>50</v>
      </c>
      <c r="D5" s="3" t="s">
        <v>160</v>
      </c>
      <c r="E5" s="3" t="s">
        <v>63</v>
      </c>
      <c r="F5" s="3" t="s">
        <v>52</v>
      </c>
      <c r="G5" s="3" t="s">
        <v>52</v>
      </c>
      <c r="H5" s="3" t="s">
        <v>69</v>
      </c>
      <c r="I5" s="3" t="s">
        <v>75</v>
      </c>
      <c r="J5" s="3" t="s">
        <v>75</v>
      </c>
      <c r="K5" s="12" t="s">
        <v>52</v>
      </c>
      <c r="L5" s="3" t="s">
        <v>55</v>
      </c>
      <c r="M5" s="3" t="s">
        <v>55</v>
      </c>
      <c r="N5" s="3" t="s">
        <v>55</v>
      </c>
      <c r="O5" s="3" t="s">
        <v>55</v>
      </c>
      <c r="P5" s="3" t="s">
        <v>55</v>
      </c>
      <c r="Q5" s="17" t="s">
        <v>351</v>
      </c>
    </row>
    <row r="6" spans="1:17" ht="16.149999999999999" customHeight="1" x14ac:dyDescent="0.35">
      <c r="A6" t="s">
        <v>104</v>
      </c>
      <c r="B6" s="22" t="s">
        <v>49</v>
      </c>
      <c r="C6" s="3" t="s">
        <v>183</v>
      </c>
      <c r="D6" s="3" t="s">
        <v>177</v>
      </c>
      <c r="E6" s="3" t="s">
        <v>52</v>
      </c>
      <c r="F6" s="3" t="s">
        <v>79</v>
      </c>
      <c r="G6" s="3" t="s">
        <v>79</v>
      </c>
      <c r="H6" s="3" t="s">
        <v>110</v>
      </c>
      <c r="I6" s="3" t="s">
        <v>91</v>
      </c>
      <c r="J6" s="3" t="s">
        <v>91</v>
      </c>
      <c r="K6" s="12" t="s">
        <v>79</v>
      </c>
      <c r="N6" s="3"/>
      <c r="O6" s="3"/>
      <c r="P6" s="3"/>
      <c r="Q6" s="17" t="s">
        <v>153</v>
      </c>
    </row>
    <row r="7" spans="1:17" ht="16.149999999999999" customHeight="1" x14ac:dyDescent="0.35">
      <c r="A7" t="s">
        <v>87</v>
      </c>
      <c r="B7" s="22" t="s">
        <v>138</v>
      </c>
      <c r="C7" s="3" t="s">
        <v>98</v>
      </c>
      <c r="D7" s="3" t="s">
        <v>303</v>
      </c>
      <c r="E7" s="3" t="s">
        <v>79</v>
      </c>
      <c r="F7" s="3" t="s">
        <v>53</v>
      </c>
      <c r="G7" s="3" t="s">
        <v>53</v>
      </c>
      <c r="H7" s="3"/>
      <c r="I7" s="3" t="s">
        <v>299</v>
      </c>
      <c r="J7" s="3" t="s">
        <v>53</v>
      </c>
      <c r="K7" s="12" t="s">
        <v>53</v>
      </c>
      <c r="Q7" s="17" t="s">
        <v>323</v>
      </c>
    </row>
    <row r="8" spans="1:17" ht="16.149999999999999" customHeight="1" x14ac:dyDescent="0.35">
      <c r="A8" t="s">
        <v>60</v>
      </c>
      <c r="B8" s="22" t="s">
        <v>219</v>
      </c>
      <c r="C8" s="3" t="s">
        <v>128</v>
      </c>
      <c r="D8" s="3" t="s">
        <v>139</v>
      </c>
      <c r="I8" s="3" t="s">
        <v>53</v>
      </c>
      <c r="Q8" s="17" t="s">
        <v>279</v>
      </c>
    </row>
    <row r="9" spans="1:17" ht="16.149999999999999" customHeight="1" x14ac:dyDescent="0.35">
      <c r="B9" s="22" t="s">
        <v>640</v>
      </c>
      <c r="C9" s="3" t="s">
        <v>73</v>
      </c>
      <c r="D9" s="3" t="s">
        <v>321</v>
      </c>
      <c r="Q9" s="17" t="s">
        <v>273</v>
      </c>
    </row>
    <row r="10" spans="1:17" ht="16.149999999999999" customHeight="1" x14ac:dyDescent="0.35">
      <c r="C10" s="3" t="s">
        <v>74</v>
      </c>
      <c r="D10" s="3" t="s">
        <v>107</v>
      </c>
      <c r="Q10" s="17" t="s">
        <v>356</v>
      </c>
    </row>
    <row r="11" spans="1:17" ht="16.149999999999999" customHeight="1" x14ac:dyDescent="0.35">
      <c r="D11" s="3" t="s">
        <v>115</v>
      </c>
      <c r="Q11" s="17" t="s">
        <v>45</v>
      </c>
    </row>
    <row r="12" spans="1:17" ht="16.149999999999999" customHeight="1" x14ac:dyDescent="0.35">
      <c r="D12" s="3" t="s">
        <v>129</v>
      </c>
      <c r="Q12" s="17" t="s">
        <v>317</v>
      </c>
    </row>
    <row r="13" spans="1:17" ht="16.149999999999999" customHeight="1" x14ac:dyDescent="0.35">
      <c r="D13" s="3" t="s">
        <v>51</v>
      </c>
      <c r="Q13" s="17" t="s">
        <v>92</v>
      </c>
    </row>
    <row r="14" spans="1:17" ht="16.149999999999999" customHeight="1" x14ac:dyDescent="0.35">
      <c r="D14" s="3" t="s">
        <v>99</v>
      </c>
      <c r="Q14" s="17" t="s">
        <v>57</v>
      </c>
    </row>
    <row r="15" spans="1:17" ht="16.149999999999999" customHeight="1" x14ac:dyDescent="0.35">
      <c r="D15" s="3" t="s">
        <v>287</v>
      </c>
      <c r="Q15" s="17" t="s">
        <v>146</v>
      </c>
    </row>
    <row r="16" spans="1:17" ht="16.149999999999999" customHeight="1" x14ac:dyDescent="0.35">
      <c r="D16" s="3" t="s">
        <v>74</v>
      </c>
      <c r="Q16" s="17" t="s">
        <v>135</v>
      </c>
    </row>
    <row r="17" spans="1:17" ht="16.149999999999999" customHeight="1" x14ac:dyDescent="0.35">
      <c r="D17" s="3"/>
      <c r="Q17" s="17" t="s">
        <v>641</v>
      </c>
    </row>
    <row r="18" spans="1:17" x14ac:dyDescent="0.35">
      <c r="Q18" s="3"/>
    </row>
    <row r="19" spans="1:17" ht="15" thickBot="1" x14ac:dyDescent="0.4">
      <c r="A19" s="133" t="s">
        <v>642</v>
      </c>
      <c r="B19" s="11"/>
    </row>
    <row r="20" spans="1:17" x14ac:dyDescent="0.35">
      <c r="A20" s="40" t="s">
        <v>83</v>
      </c>
      <c r="B20" s="107"/>
    </row>
    <row r="21" spans="1:17" x14ac:dyDescent="0.35">
      <c r="A21" s="40" t="s">
        <v>351</v>
      </c>
      <c r="B21" s="110"/>
    </row>
    <row r="22" spans="1:17" x14ac:dyDescent="0.35">
      <c r="A22" s="40" t="s">
        <v>153</v>
      </c>
      <c r="B22" s="97"/>
    </row>
    <row r="23" spans="1:17" x14ac:dyDescent="0.35">
      <c r="A23" s="40" t="s">
        <v>323</v>
      </c>
      <c r="B23" s="98"/>
    </row>
    <row r="24" spans="1:17" x14ac:dyDescent="0.35">
      <c r="A24" s="40" t="s">
        <v>279</v>
      </c>
      <c r="B24" s="99"/>
    </row>
    <row r="25" spans="1:17" x14ac:dyDescent="0.35">
      <c r="A25" s="40" t="s">
        <v>273</v>
      </c>
      <c r="B25" s="99"/>
    </row>
    <row r="26" spans="1:17" x14ac:dyDescent="0.35">
      <c r="A26" s="40" t="s">
        <v>356</v>
      </c>
      <c r="B26" s="100"/>
    </row>
    <row r="27" spans="1:17" x14ac:dyDescent="0.35">
      <c r="A27" s="40" t="s">
        <v>45</v>
      </c>
      <c r="B27" s="112"/>
    </row>
    <row r="28" spans="1:17" x14ac:dyDescent="0.35">
      <c r="A28" s="40" t="s">
        <v>95</v>
      </c>
      <c r="B28" s="101"/>
    </row>
    <row r="29" spans="1:17" x14ac:dyDescent="0.35">
      <c r="A29" s="40" t="s">
        <v>92</v>
      </c>
      <c r="B29" s="102"/>
    </row>
    <row r="30" spans="1:17" x14ac:dyDescent="0.35">
      <c r="A30" s="4" t="s">
        <v>57</v>
      </c>
      <c r="B30" s="103"/>
    </row>
    <row r="31" spans="1:17" x14ac:dyDescent="0.35">
      <c r="A31" s="40" t="s">
        <v>146</v>
      </c>
      <c r="B31" s="104"/>
    </row>
    <row r="32" spans="1:17" x14ac:dyDescent="0.35">
      <c r="A32" s="40" t="s">
        <v>135</v>
      </c>
      <c r="B32" s="111"/>
    </row>
    <row r="33" spans="1:2" x14ac:dyDescent="0.35">
      <c r="A33" s="40" t="s">
        <v>398</v>
      </c>
      <c r="B33" s="105" t="s">
        <v>152</v>
      </c>
    </row>
    <row r="34" spans="1:2" x14ac:dyDescent="0.35">
      <c r="A34" s="4" t="s">
        <v>290</v>
      </c>
      <c r="B34" s="106"/>
    </row>
  </sheetData>
  <mergeCells count="1">
    <mergeCell ref="J1:K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nc695c5aeb184e52bf78fb52672e0b9d xmlns="e82611c7-719d-41d7-8e84-6f496a8d9672">
      <Terms xmlns="http://schemas.microsoft.com/office/infopath/2007/PartnerControls"/>
    </nc695c5aeb184e52bf78fb52672e0b9d>
    <m720c857f92247b4b2f03df6cb5d2bc9 xmlns="e82611c7-719d-41d7-8e84-6f496a8d9672">
      <Terms xmlns="http://schemas.microsoft.com/office/infopath/2007/PartnerControls"/>
    </m720c857f92247b4b2f03df6cb5d2bc9>
    <Arup_TeamSpaceDocumentStatus xmlns="http://schemas.microsoft.com/sharepoint/v3" xsi:nil="true"/>
    <ja38ea1158ed452e9308a795972805b9 xmlns="e82611c7-719d-41d7-8e84-6f496a8d9672">
      <Terms xmlns="http://schemas.microsoft.com/office/infopath/2007/PartnerControls"/>
    </ja38ea1158ed452e9308a795972805b9>
    <o9707bc871d6428696dc7fdce2fc1966 xmlns="e82611c7-719d-41d7-8e84-6f496a8d9672">
      <Terms xmlns="http://schemas.microsoft.com/office/infopath/2007/PartnerControls"/>
    </o9707bc871d6428696dc7fdce2fc1966>
    <Arup_TeamSpaceWorkstreamInternal xmlns="e82611c7-719d-41d7-8e84-6f496a8d9672" xsi:nil="true"/>
    <Arup_TeamSpaceDeliverable xmlns="e82611c7-719d-41d7-8e84-6f496a8d9672">false</Arup_TeamSpaceDeliverable>
    <Arup_TeamSpaceProjectStage xmlns="e82611c7-719d-41d7-8e84-6f496a8d9672" xsi:nil="true"/>
    <CO_Description xmlns="e82611c7-719d-41d7-8e84-6f496a8d9672" xsi:nil="true"/>
    <lcf76f155ced4ddcb4097134ff3c332f xmlns="38ab93bd-1ec9-496a-817b-56befb4dccfb">
      <Terms xmlns="http://schemas.microsoft.com/office/infopath/2007/PartnerControls"/>
    </lcf76f155ced4ddcb4097134ff3c332f>
    <TaxCatchAll xmlns="e82611c7-719d-41d7-8e84-6f496a8d9672" xsi:nil="true"/>
    <Arup_TeamSpaceMustRead xmlns="e82611c7-719d-41d7-8e84-6f496a8d9672">false</Arup_TeamSpaceMustRead>
    <TeamSpaceRevision xmlns="e82611c7-719d-41d7-8e84-6f496a8d967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ata and Document" ma:contentTypeID="0x0101002392094CBAD04C3AB0B65532217FA45A0100F72DF8E0E328674A8B1C20A347825FEE" ma:contentTypeVersion="22" ma:contentTypeDescription="" ma:contentTypeScope="" ma:versionID="befd540fcde84b741dcbda915c0629cd">
  <xsd:schema xmlns:xsd="http://www.w3.org/2001/XMLSchema" xmlns:xs="http://www.w3.org/2001/XMLSchema" xmlns:p="http://schemas.microsoft.com/office/2006/metadata/properties" xmlns:ns1="http://schemas.microsoft.com/sharepoint/v3" xmlns:ns2="e82611c7-719d-41d7-8e84-6f496a8d9672" xmlns:ns3="38ab93bd-1ec9-496a-817b-56befb4dccfb" targetNamespace="http://schemas.microsoft.com/office/2006/metadata/properties" ma:root="true" ma:fieldsID="d197dfb49175fbcbcf77414f9c822e09" ns1:_="" ns2:_="" ns3:_="">
    <xsd:import namespace="http://schemas.microsoft.com/sharepoint/v3"/>
    <xsd:import namespace="e82611c7-719d-41d7-8e84-6f496a8d9672"/>
    <xsd:import namespace="38ab93bd-1ec9-496a-817b-56befb4dccfb"/>
    <xsd:element name="properties">
      <xsd:complexType>
        <xsd:sequence>
          <xsd:element name="documentManagement">
            <xsd:complexType>
              <xsd:all>
                <xsd:element ref="ns2:CO_Description" minOccurs="0"/>
                <xsd:element ref="ns2:m720c857f92247b4b2f03df6cb5d2bc9" minOccurs="0"/>
                <xsd:element ref="ns2:TaxCatchAll" minOccurs="0"/>
                <xsd:element ref="ns2:TaxCatchAllLabel" minOccurs="0"/>
                <xsd:element ref="ns2:nc695c5aeb184e52bf78fb52672e0b9d" minOccurs="0"/>
                <xsd:element ref="ns2:ja38ea1158ed452e9308a795972805b9" minOccurs="0"/>
                <xsd:element ref="ns2:o9707bc871d6428696dc7fdce2fc1966" minOccurs="0"/>
                <xsd:element ref="ns2:Arup_TeamSpaceProjectStage" minOccurs="0"/>
                <xsd:element ref="ns1:Arup_TeamSpaceDocumentStatus" minOccurs="0"/>
                <xsd:element ref="ns2:Arup_TeamSpaceWorkstreamInternal" minOccurs="0"/>
                <xsd:element ref="ns2:Arup_TeamSpaceMustRead" minOccurs="0"/>
                <xsd:element ref="ns2:Arup_TeamSpaceDeliverable" minOccurs="0"/>
                <xsd:element ref="ns2:TeamSpaceRevision" minOccurs="0"/>
                <xsd:element ref="ns3:MediaServiceMetadata" minOccurs="0"/>
                <xsd:element ref="ns3:MediaServiceFastMetadata" minOccurs="0"/>
                <xsd:element ref="ns3:MediaServiceSearchProperties" minOccurs="0"/>
                <xsd:element ref="ns3:MediaServiceDateTaken" minOccurs="0"/>
                <xsd:element ref="ns3:MediaServiceObjectDetectorVersions" minOccurs="0"/>
                <xsd:element ref="ns3:MediaServiceGenerationTime" minOccurs="0"/>
                <xsd:element ref="ns3:MediaServiceEventHashCode" minOccurs="0"/>
                <xsd:element ref="ns3:MediaLengthInSeconds" minOccurs="0"/>
                <xsd:element ref="ns3:lcf76f155ced4ddcb4097134ff3c332f" minOccurs="0"/>
                <xsd:element ref="ns3:MediaServiceOCR" minOccurs="0"/>
                <xsd:element ref="ns3:MediaServiceLocation"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rup_TeamSpaceDocumentStatus" ma:index="20" nillable="true" ma:displayName="Status" ma:format="Dropdown" ma:internalName="Arup_TeamSpaceDocumentStatus">
      <xsd:simpleType>
        <xsd:restriction base="dms:Choice">
          <xsd:enumeration value="Draft"/>
          <xsd:enumeration value="Issued"/>
        </xsd:restriction>
      </xsd:simpleType>
    </xsd:element>
  </xsd:schema>
  <xsd:schema xmlns:xsd="http://www.w3.org/2001/XMLSchema" xmlns:xs="http://www.w3.org/2001/XMLSchema" xmlns:dms="http://schemas.microsoft.com/office/2006/documentManagement/types" xmlns:pc="http://schemas.microsoft.com/office/infopath/2007/PartnerControls" targetNamespace="e82611c7-719d-41d7-8e84-6f496a8d9672" elementFormDefault="qualified">
    <xsd:import namespace="http://schemas.microsoft.com/office/2006/documentManagement/types"/>
    <xsd:import namespace="http://schemas.microsoft.com/office/infopath/2007/PartnerControls"/>
    <xsd:element name="CO_Description" ma:index="8" nillable="true" ma:displayName="Description" ma:hidden="true" ma:internalName="CO_Description" ma:readOnly="false">
      <xsd:simpleType>
        <xsd:restriction base="dms:Note"/>
      </xsd:simpleType>
    </xsd:element>
    <xsd:element name="m720c857f92247b4b2f03df6cb5d2bc9" ma:index="9" nillable="true" ma:taxonomy="true" ma:internalName="m720c857f92247b4b2f03df6cb5d2bc9" ma:taxonomyFieldName="Arup_Tags" ma:displayName="Tags" ma:fieldId="{6720c857-f922-47b4-b2f0-3df6cb5d2bc9}" ma:taxonomyMulti="true" ma:sspId="00000000-0000-0000-0000-000000000000" ma:termSetId="00000000-0000-0000-0000-000000000000" ma:anchorId="00000000-0000-0000-0000-000000000000" ma:open="true" ma:isKeyword="false">
      <xsd:complexType>
        <xsd:sequence>
          <xsd:element ref="pc:Terms" minOccurs="0" maxOccurs="1"/>
        </xsd:sequence>
      </xsd:complexType>
    </xsd:element>
    <xsd:element name="TaxCatchAll" ma:index="10" nillable="true" ma:displayName="Taxonomy Catch All Column" ma:hidden="true" ma:list="{3783524b-f881-485d-bc9a-09e7c515be05}" ma:internalName="TaxCatchAll" ma:showField="CatchAllData" ma:web="e82611c7-719d-41d7-8e84-6f496a8d9672">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3783524b-f881-485d-bc9a-09e7c515be05}" ma:internalName="TaxCatchAllLabel" ma:readOnly="true" ma:showField="CatchAllDataLabel" ma:web="e82611c7-719d-41d7-8e84-6f496a8d9672">
      <xsd:complexType>
        <xsd:complexContent>
          <xsd:extension base="dms:MultiChoiceLookup">
            <xsd:sequence>
              <xsd:element name="Value" type="dms:Lookup" maxOccurs="unbounded" minOccurs="0" nillable="true"/>
            </xsd:sequence>
          </xsd:extension>
        </xsd:complexContent>
      </xsd:complexType>
    </xsd:element>
    <xsd:element name="nc695c5aeb184e52bf78fb52672e0b9d" ma:index="13" nillable="true" ma:taxonomy="true" ma:internalName="nc695c5aeb184e52bf78fb52672e0b9d" ma:taxonomyFieldName="CO_Communities" ma:displayName="Community" ma:fieldId="{7c695c5a-eb18-4e52-bf78-fb52672e0b9d}" ma:taxonomyMulti="true" ma:sspId="00000000-0000-0000-0000-000000000000" ma:termSetId="00000000-0000-0000-0000-000000000000" ma:anchorId="00000000-0000-0000-0000-000000000000" ma:open="true" ma:isKeyword="false">
      <xsd:complexType>
        <xsd:sequence>
          <xsd:element ref="pc:Terms" minOccurs="0" maxOccurs="1"/>
        </xsd:sequence>
      </xsd:complexType>
    </xsd:element>
    <xsd:element name="ja38ea1158ed452e9308a795972805b9" ma:index="15" nillable="true" ma:taxonomy="true" ma:internalName="ja38ea1158ed452e9308a795972805b9" ma:taxonomyFieldName="CO_Topics" ma:displayName="Topic" ma:fieldId="{3a38ea11-58ed-452e-9308-a795972805b9}" ma:taxonomyMulti="true" ma:sspId="00000000-0000-0000-0000-000000000000" ma:termSetId="00000000-0000-0000-0000-000000000000" ma:anchorId="00000000-0000-0000-0000-000000000000" ma:open="true" ma:isKeyword="false">
      <xsd:complexType>
        <xsd:sequence>
          <xsd:element ref="pc:Terms" minOccurs="0" maxOccurs="1"/>
        </xsd:sequence>
      </xsd:complexType>
    </xsd:element>
    <xsd:element name="o9707bc871d6428696dc7fdce2fc1966" ma:index="17" nillable="true" ma:taxonomy="true" ma:internalName="o9707bc871d6428696dc7fdce2fc1966" ma:taxonomyFieldName="Arup_TypeOfContent" ma:displayName="Content Category" ma:fieldId="{89707bc8-71d6-4286-96dc-7fdce2fc1966}"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Arup_TeamSpaceProjectStage" ma:index="19" nillable="true" ma:displayName="Project Stage" ma:format="Dropdown" ma:internalName="Arup_TeamSpaceProjectStage">
      <xsd:simpleType>
        <xsd:restriction base="dms:Choice">
          <xsd:enumeration value="Not Specified"/>
          <xsd:enumeration value="Concept"/>
          <xsd:enumeration value="Scheme"/>
          <xsd:enumeration value="Detailed Design"/>
          <xsd:enumeration value="Tender"/>
          <xsd:enumeration value="Construction"/>
          <xsd:enumeration value="Handover"/>
          <xsd:enumeration value="As-Built"/>
        </xsd:restriction>
      </xsd:simpleType>
    </xsd:element>
    <xsd:element name="Arup_TeamSpaceWorkstreamInternal" ma:index="21" nillable="true" ma:displayName="Workstream" ma:format="Dropdown" ma:internalName="Arup_TeamSpaceWorkstreamInternal">
      <xsd:simpleType>
        <xsd:restriction base="dms:Choice">
          <xsd:enumeration value="Architecture"/>
          <xsd:enumeration value="Structures"/>
          <xsd:enumeration value="MEP"/>
          <xsd:enumeration value="Rail"/>
          <xsd:enumeration value="Highways and Civils"/>
          <xsd:enumeration value="Commission &amp; Scope"/>
          <xsd:enumeration value="Costs &amp; Fees"/>
          <xsd:enumeration value="Health &amp; Safety"/>
          <xsd:enumeration value="Project Controls"/>
          <xsd:enumeration value="Schedule"/>
          <xsd:enumeration value="Team"/>
          <xsd:enumeration value="Quality Assurance"/>
        </xsd:restriction>
      </xsd:simpleType>
    </xsd:element>
    <xsd:element name="Arup_TeamSpaceMustRead" ma:index="22" nillable="true" ma:displayName="Must Read" ma:default="0" ma:description="Indicates that the current document is important and must be read. This may take up to 15 minutes to appear in the 'Must Read' panel" ma:internalName="Arup_TeamSpaceMustRead">
      <xsd:simpleType>
        <xsd:restriction base="dms:Boolean"/>
      </xsd:simpleType>
    </xsd:element>
    <xsd:element name="Arup_TeamSpaceDeliverable" ma:index="23" nillable="true" ma:displayName="Deliverable" ma:default="0" ma:internalName="Arup_TeamSpaceDeliverable">
      <xsd:simpleType>
        <xsd:restriction base="dms:Boolean"/>
      </xsd:simpleType>
    </xsd:element>
    <xsd:element name="TeamSpaceRevision" ma:index="24" nillable="true" ma:displayName="Revision" ma:description="User-editable version number" ma:internalName="TeamSpaceRevision">
      <xsd:simpleType>
        <xsd:restriction base="dms:Text">
          <xsd:maxLength value="255"/>
        </xsd:restriction>
      </xsd:simpleType>
    </xsd:element>
    <xsd:element name="SharedWithUsers" ma:index="3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8ab93bd-1ec9-496a-817b-56befb4dccfb"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DateTaken" ma:index="28" nillable="true" ma:displayName="MediaServiceDateTaken" ma:hidden="true" ma:indexed="true" ma:internalName="MediaServiceDateTaken" ma:readOnly="true">
      <xsd:simpleType>
        <xsd:restriction base="dms:Text"/>
      </xsd:simpleType>
    </xsd:element>
    <xsd:element name="MediaServiceObjectDetectorVersions" ma:index="29" nillable="true" ma:displayName="MediaServiceObjectDetectorVersions" ma:hidden="true" ma:indexed="true" ma:internalName="MediaServiceObjectDetectorVersions" ma:readOnly="true">
      <xsd:simpleType>
        <xsd:restriction base="dms:Text"/>
      </xsd:simpleType>
    </xsd:element>
    <xsd:element name="MediaServiceGenerationTime" ma:index="30" nillable="true" ma:displayName="MediaServiceGenerationTime" ma:hidden="true" ma:internalName="MediaServiceGenerationTime" ma:readOnly="true">
      <xsd:simpleType>
        <xsd:restriction base="dms:Text"/>
      </xsd:simpleType>
    </xsd:element>
    <xsd:element name="MediaServiceEventHashCode" ma:index="31" nillable="true" ma:displayName="MediaServiceEventHashCode" ma:hidden="true" ma:internalName="MediaServiceEventHashCode" ma:readOnly="true">
      <xsd:simpleType>
        <xsd:restriction base="dms:Text"/>
      </xsd:simpleType>
    </xsd:element>
    <xsd:element name="MediaLengthInSeconds" ma:index="32" nillable="true" ma:displayName="MediaLengthInSeconds" ma:hidden="true" ma:internalName="MediaLengthInSeconds" ma:readOnly="true">
      <xsd:simpleType>
        <xsd:restriction base="dms:Unknown"/>
      </xsd:simpleType>
    </xsd:element>
    <xsd:element name="lcf76f155ced4ddcb4097134ff3c332f" ma:index="34" nillable="true" ma:taxonomy="true" ma:internalName="lcf76f155ced4ddcb4097134ff3c332f" ma:taxonomyFieldName="MediaServiceImageTags" ma:displayName="Image Tags" ma:readOnly="false" ma:fieldId="{5cf76f15-5ced-4ddc-b409-7134ff3c332f}" ma:taxonomyMulti="true" ma:sspId="5f907feb-2135-424b-9e5e-2a3ef7dbb37b" ma:termSetId="09814cd3-568e-fe90-9814-8d621ff8fb84" ma:anchorId="fba54fb3-c3e1-fe81-a776-ca4b69148c4d" ma:open="true" ma:isKeyword="false">
      <xsd:complexType>
        <xsd:sequence>
          <xsd:element ref="pc:Terms" minOccurs="0" maxOccurs="1"/>
        </xsd:sequence>
      </xsd:complexType>
    </xsd:element>
    <xsd:element name="MediaServiceOCR" ma:index="35" nillable="true" ma:displayName="Extracted Text" ma:internalName="MediaServiceOCR" ma:readOnly="true">
      <xsd:simpleType>
        <xsd:restriction base="dms:Note">
          <xsd:maxLength value="255"/>
        </xsd:restriction>
      </xsd:simpleType>
    </xsd:element>
    <xsd:element name="MediaServiceLocation" ma:index="3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402C31-85D4-4CD0-A6AE-86541CABF956}">
  <ds:schemaRefs>
    <ds:schemaRef ds:uri="http://purl.org/dc/dcmitype/"/>
    <ds:schemaRef ds:uri="http://schemas.microsoft.com/sharepoint/v3"/>
    <ds:schemaRef ds:uri="http://purl.org/dc/elements/1.1/"/>
    <ds:schemaRef ds:uri="http://schemas.microsoft.com/office/infopath/2007/PartnerControls"/>
    <ds:schemaRef ds:uri="38ab93bd-1ec9-496a-817b-56befb4dccfb"/>
    <ds:schemaRef ds:uri="http://schemas.microsoft.com/office/2006/metadata/properties"/>
    <ds:schemaRef ds:uri="http://purl.org/dc/terms/"/>
    <ds:schemaRef ds:uri="http://schemas.microsoft.com/office/2006/documentManagement/types"/>
    <ds:schemaRef ds:uri="http://schemas.openxmlformats.org/package/2006/metadata/core-properties"/>
    <ds:schemaRef ds:uri="e82611c7-719d-41d7-8e84-6f496a8d9672"/>
    <ds:schemaRef ds:uri="http://www.w3.org/XML/1998/namespace"/>
  </ds:schemaRefs>
</ds:datastoreItem>
</file>

<file path=customXml/itemProps2.xml><?xml version="1.0" encoding="utf-8"?>
<ds:datastoreItem xmlns:ds="http://schemas.openxmlformats.org/officeDocument/2006/customXml" ds:itemID="{2CD60FAF-9821-452E-B16E-53F053D5A55C}">
  <ds:schemaRefs>
    <ds:schemaRef ds:uri="http://schemas.microsoft.com/sharepoint/v3/contenttype/forms"/>
  </ds:schemaRefs>
</ds:datastoreItem>
</file>

<file path=customXml/itemProps3.xml><?xml version="1.0" encoding="utf-8"?>
<ds:datastoreItem xmlns:ds="http://schemas.openxmlformats.org/officeDocument/2006/customXml" ds:itemID="{E41471EF-91C5-4B41-A978-26BE242E8F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82611c7-719d-41d7-8e84-6f496a8d9672"/>
    <ds:schemaRef ds:uri="38ab93bd-1ec9-496a-817b-56befb4dcc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2fa3fd3-029b-403d-91b4-1dc930cb0e60}" enabled="1" method="Standard" siteId="{4ae48b41-0137-4599-8661-fc641fe77be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vt:lpstr>
      <vt:lpstr>MATRIX</vt:lpstr>
      <vt:lpstr>byPROJECT</vt:lpstr>
      <vt:lpstr>bySCHEDULE</vt:lpstr>
      <vt:lpstr>BRAINSTORM SESSION</vt:lpstr>
      <vt:lpstr>ARCHIVE 1_10_25</vt:lpstr>
      <vt:lpstr>Example Matrix</vt:lpstr>
      <vt:lpstr>DATA VALIDATION LIST</vt:lpstr>
      <vt:lpstr>MATRIX!Print_Area</vt:lpstr>
      <vt:lpstr>MATRIX!Print_Titles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Megan Brown</dc:creator>
  <cp:keywords/>
  <dc:description/>
  <cp:lastModifiedBy>Steve Walnut</cp:lastModifiedBy>
  <cp:revision/>
  <cp:lastPrinted>2025-07-03T13:54:26Z</cp:lastPrinted>
  <dcterms:created xsi:type="dcterms:W3CDTF">2024-05-29T14:54:52Z</dcterms:created>
  <dcterms:modified xsi:type="dcterms:W3CDTF">2025-07-11T18:56:52Z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0x0101002392094CBAD04C3AB0B65532217FA45A0100F72DF8E0E328674A8B1C20A347825FEE</vt:lpwstr>
  </property>
  <property fmtid="{D5CDD505-2E9C-101B-9397-08002B2CF9AE}" pid="3" name="Arup_Tags">
    <vt:lpwstr/>
  </property>
  <property fmtid="{D5CDD505-2E9C-101B-9397-08002B2CF9AE}" pid="4" name="MediaServiceImageTags">
    <vt:lpwstr/>
  </property>
  <property fmtid="{D5CDD505-2E9C-101B-9397-08002B2CF9AE}" pid="5" name="CO_Topics">
    <vt:lpwstr/>
  </property>
  <property fmtid="{D5CDD505-2E9C-101B-9397-08002B2CF9AE}" pid="6" name="Arup_TypeOfContent">
    <vt:lpwstr/>
  </property>
  <property fmtid="{D5CDD505-2E9C-101B-9397-08002B2CF9AE}" pid="7" name="CO_Communities">
    <vt:lpwstr/>
  </property>
</Properties>
</file>